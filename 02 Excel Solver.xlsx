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1 Kuliah\Semester 6\Riset Operasi\PROYEK AKHIR\"/>
    </mc:Choice>
  </mc:AlternateContent>
  <xr:revisionPtr revIDLastSave="0" documentId="13_ncr:1_{0877F589-E654-4D60-AE1E-E64D005DCD1E}" xr6:coauthVersionLast="47" xr6:coauthVersionMax="47" xr10:uidLastSave="{00000000-0000-0000-0000-000000000000}"/>
  <bookViews>
    <workbookView xWindow="-108" yWindow="-108" windowWidth="23256" windowHeight="12456" activeTab="3" xr2:uid="{B3213BB6-51C1-4A47-9ADF-FF1FBA55728D}"/>
  </bookViews>
  <sheets>
    <sheet name="Sheet2" sheetId="2" r:id="rId1"/>
    <sheet name="Answer Report 1" sheetId="5" r:id="rId2"/>
    <sheet name="Sheet3" sheetId="3" r:id="rId3"/>
    <sheet name="Sheet4" sheetId="4" r:id="rId4"/>
  </sheets>
  <definedNames>
    <definedName name="solver_adj" localSheetId="2" hidden="1">Sheet3!$C$16:$L$25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Sheet3!$C$16:$L$25</definedName>
    <definedName name="solver_lhs2" localSheetId="2" hidden="1">Sheet3!$C$26:$L$26</definedName>
    <definedName name="solver_lhs3" localSheetId="2" hidden="1">Sheet3!$M$16:$M$25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3</definedName>
    <definedName name="solver_nwt" localSheetId="2" hidden="1">1</definedName>
    <definedName name="solver_opt" localSheetId="2" hidden="1">Sheet3!$Q$14</definedName>
    <definedName name="solver_pre" localSheetId="2" hidden="1">0.000001</definedName>
    <definedName name="solver_rbv" localSheetId="2" hidden="1">1</definedName>
    <definedName name="solver_rel1" localSheetId="2" hidden="1">5</definedName>
    <definedName name="solver_rel2" localSheetId="2" hidden="1">2</definedName>
    <definedName name="solver_rel3" localSheetId="2" hidden="1">2</definedName>
    <definedName name="solver_rhs1" localSheetId="2" hidden="1">"binary"</definedName>
    <definedName name="solver_rhs2" localSheetId="2" hidden="1">Sheet3!$C$28:$L$28</definedName>
    <definedName name="solver_rhs3" localSheetId="2" hidden="1">Sheet3!$O$16:$O$25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D26" i="3"/>
  <c r="E26" i="3"/>
  <c r="F26" i="3"/>
  <c r="G26" i="3"/>
  <c r="H26" i="3"/>
  <c r="I26" i="3"/>
  <c r="J26" i="3"/>
  <c r="K26" i="3"/>
  <c r="L26" i="3"/>
  <c r="Q14" i="3"/>
  <c r="M17" i="3"/>
  <c r="M18" i="3"/>
  <c r="M19" i="3"/>
  <c r="M20" i="3"/>
  <c r="M21" i="3"/>
  <c r="M22" i="3"/>
  <c r="M23" i="3"/>
  <c r="M24" i="3"/>
  <c r="M25" i="3"/>
  <c r="M16" i="3"/>
</calcChain>
</file>

<file path=xl/sharedStrings.xml><?xml version="1.0" encoding="utf-8"?>
<sst xmlns="http://schemas.openxmlformats.org/spreadsheetml/2006/main" count="524" uniqueCount="317">
  <si>
    <t>Dialoog Banyuwangi</t>
  </si>
  <si>
    <t>Nasi Segok Cawuk Bu Mantih</t>
  </si>
  <si>
    <t>Ayam Kesrut Kanggo Riko</t>
  </si>
  <si>
    <t>Pantai Blimbingsaro</t>
  </si>
  <si>
    <t>Rawon Bik Ati</t>
  </si>
  <si>
    <t>Rumah Makan Pecel Ayu</t>
  </si>
  <si>
    <t>Warung Rujak Soto Mbok Mbret</t>
  </si>
  <si>
    <t>Nasi Tempong Mbok Nah</t>
  </si>
  <si>
    <t>Nasi Tempong Mbok Wah</t>
  </si>
  <si>
    <t>Sego Tempong Mbak Ida</t>
  </si>
  <si>
    <t>Sego Tempong Bek Youk</t>
  </si>
  <si>
    <t>Row Sum</t>
  </si>
  <si>
    <t>Column sum</t>
  </si>
  <si>
    <t>A</t>
  </si>
  <si>
    <t>B</t>
  </si>
  <si>
    <t>D</t>
  </si>
  <si>
    <t>C</t>
  </si>
  <si>
    <t>E</t>
  </si>
  <si>
    <t>F</t>
  </si>
  <si>
    <t>G</t>
  </si>
  <si>
    <t>H</t>
  </si>
  <si>
    <t>I</t>
  </si>
  <si>
    <t>J</t>
  </si>
  <si>
    <t>AJHFEA</t>
  </si>
  <si>
    <t>AJFHEA</t>
  </si>
  <si>
    <t>JH</t>
  </si>
  <si>
    <t>EA</t>
  </si>
  <si>
    <t>Microsoft Excel 16.0 Answer Report</t>
  </si>
  <si>
    <t>Worksheet: [data dan excel solver.xlsx]Sheet3</t>
  </si>
  <si>
    <t>Report Created: 04/06/2025 14:30:57</t>
  </si>
  <si>
    <t>Result: Solver found a solution.  All Constraints and optimality conditions are satisfied.</t>
  </si>
  <si>
    <t>Solver Engine</t>
  </si>
  <si>
    <t>Engine: Simplex LP</t>
  </si>
  <si>
    <t>Solution Time: 0,203 Seconds.</t>
  </si>
  <si>
    <t>Iterations: 153 Subproblems: 0</t>
  </si>
  <si>
    <t>Solver Options</t>
  </si>
  <si>
    <t>Max Time Unlimited,  Iterations Unlimited, Precision 0,000001,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</si>
  <si>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</si>
  <si>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</si>
  <si>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</si>
  <si>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</si>
  <si>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</si>
  <si>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</si>
  <si>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</si>
  <si>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</si>
  <si>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</si>
  <si>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</si>
  <si>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</si>
  <si>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</si>
  <si>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</si>
  <si>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$Q$14</t>
  </si>
  <si>
    <t>$C$16</t>
  </si>
  <si>
    <t>A A</t>
  </si>
  <si>
    <t>$D$16</t>
  </si>
  <si>
    <t>A B</t>
  </si>
  <si>
    <t>$E$16</t>
  </si>
  <si>
    <t>A C</t>
  </si>
  <si>
    <t>$F$16</t>
  </si>
  <si>
    <t>A D</t>
  </si>
  <si>
    <t>$G$16</t>
  </si>
  <si>
    <t>A E</t>
  </si>
  <si>
    <t>$H$16</t>
  </si>
  <si>
    <t>A F</t>
  </si>
  <si>
    <t>$I$16</t>
  </si>
  <si>
    <t>A G</t>
  </si>
  <si>
    <t>$J$16</t>
  </si>
  <si>
    <t>A H</t>
  </si>
  <si>
    <t>$K$16</t>
  </si>
  <si>
    <t>A I</t>
  </si>
  <si>
    <t>$L$16</t>
  </si>
  <si>
    <t>A J</t>
  </si>
  <si>
    <t>$C$17</t>
  </si>
  <si>
    <t>B A</t>
  </si>
  <si>
    <t>$D$17</t>
  </si>
  <si>
    <t>B B</t>
  </si>
  <si>
    <t>$E$17</t>
  </si>
  <si>
    <t>B C</t>
  </si>
  <si>
    <t>$F$17</t>
  </si>
  <si>
    <t>B D</t>
  </si>
  <si>
    <t>$G$17</t>
  </si>
  <si>
    <t>B E</t>
  </si>
  <si>
    <t>$H$17</t>
  </si>
  <si>
    <t>B F</t>
  </si>
  <si>
    <t>$I$17</t>
  </si>
  <si>
    <t>B G</t>
  </si>
  <si>
    <t>$J$17</t>
  </si>
  <si>
    <t>B H</t>
  </si>
  <si>
    <t>$K$17</t>
  </si>
  <si>
    <t>B I</t>
  </si>
  <si>
    <t>$L$17</t>
  </si>
  <si>
    <t>B J</t>
  </si>
  <si>
    <t>$C$18</t>
  </si>
  <si>
    <t>C A</t>
  </si>
  <si>
    <t>$D$18</t>
  </si>
  <si>
    <t>C B</t>
  </si>
  <si>
    <t>$E$18</t>
  </si>
  <si>
    <t>C C</t>
  </si>
  <si>
    <t>$F$18</t>
  </si>
  <si>
    <t>C D</t>
  </si>
  <si>
    <t>$G$18</t>
  </si>
  <si>
    <t>C E</t>
  </si>
  <si>
    <t>$H$18</t>
  </si>
  <si>
    <t>C F</t>
  </si>
  <si>
    <t>$I$18</t>
  </si>
  <si>
    <t>C G</t>
  </si>
  <si>
    <t>$J$18</t>
  </si>
  <si>
    <t>C H</t>
  </si>
  <si>
    <t>$K$18</t>
  </si>
  <si>
    <t>C I</t>
  </si>
  <si>
    <t>$L$18</t>
  </si>
  <si>
    <t>C J</t>
  </si>
  <si>
    <t>$C$19</t>
  </si>
  <si>
    <t>D A</t>
  </si>
  <si>
    <t>$D$19</t>
  </si>
  <si>
    <t>D B</t>
  </si>
  <si>
    <t>$E$19</t>
  </si>
  <si>
    <t>D C</t>
  </si>
  <si>
    <t>$F$19</t>
  </si>
  <si>
    <t>D D</t>
  </si>
  <si>
    <t>$G$19</t>
  </si>
  <si>
    <t>D E</t>
  </si>
  <si>
    <t>$H$19</t>
  </si>
  <si>
    <t>D F</t>
  </si>
  <si>
    <t>$I$19</t>
  </si>
  <si>
    <t>D G</t>
  </si>
  <si>
    <t>$J$19</t>
  </si>
  <si>
    <t>D H</t>
  </si>
  <si>
    <t>$K$19</t>
  </si>
  <si>
    <t>D I</t>
  </si>
  <si>
    <t>$L$19</t>
  </si>
  <si>
    <t>D J</t>
  </si>
  <si>
    <t>$C$20</t>
  </si>
  <si>
    <t>E A</t>
  </si>
  <si>
    <t>$D$20</t>
  </si>
  <si>
    <t>E B</t>
  </si>
  <si>
    <t>$E$20</t>
  </si>
  <si>
    <t>E C</t>
  </si>
  <si>
    <t>$F$20</t>
  </si>
  <si>
    <t>E D</t>
  </si>
  <si>
    <t>$G$20</t>
  </si>
  <si>
    <t>E E</t>
  </si>
  <si>
    <t>$H$20</t>
  </si>
  <si>
    <t>E F</t>
  </si>
  <si>
    <t>$I$20</t>
  </si>
  <si>
    <t>E G</t>
  </si>
  <si>
    <t>$J$20</t>
  </si>
  <si>
    <t>E H</t>
  </si>
  <si>
    <t>$K$20</t>
  </si>
  <si>
    <t>E I</t>
  </si>
  <si>
    <t>$L$20</t>
  </si>
  <si>
    <t>E J</t>
  </si>
  <si>
    <t>$C$21</t>
  </si>
  <si>
    <t>F A</t>
  </si>
  <si>
    <t>$D$21</t>
  </si>
  <si>
    <t>F B</t>
  </si>
  <si>
    <t>$E$21</t>
  </si>
  <si>
    <t>F C</t>
  </si>
  <si>
    <t>$F$21</t>
  </si>
  <si>
    <t>F D</t>
  </si>
  <si>
    <t>$G$21</t>
  </si>
  <si>
    <t>F E</t>
  </si>
  <si>
    <t>$H$21</t>
  </si>
  <si>
    <t>F F</t>
  </si>
  <si>
    <t>$I$21</t>
  </si>
  <si>
    <t>F G</t>
  </si>
  <si>
    <t>$J$21</t>
  </si>
  <si>
    <t>F H</t>
  </si>
  <si>
    <t>$K$21</t>
  </si>
  <si>
    <t>F I</t>
  </si>
  <si>
    <t>$L$21</t>
  </si>
  <si>
    <t>F J</t>
  </si>
  <si>
    <t>$C$22</t>
  </si>
  <si>
    <t>G A</t>
  </si>
  <si>
    <t>$D$22</t>
  </si>
  <si>
    <t>G B</t>
  </si>
  <si>
    <t>$E$22</t>
  </si>
  <si>
    <t>G C</t>
  </si>
  <si>
    <t>$F$22</t>
  </si>
  <si>
    <t>G D</t>
  </si>
  <si>
    <t>$G$22</t>
  </si>
  <si>
    <t>G E</t>
  </si>
  <si>
    <t>$H$22</t>
  </si>
  <si>
    <t>G F</t>
  </si>
  <si>
    <t>$I$22</t>
  </si>
  <si>
    <t>G G</t>
  </si>
  <si>
    <t>$J$22</t>
  </si>
  <si>
    <t>G H</t>
  </si>
  <si>
    <t>$K$22</t>
  </si>
  <si>
    <t>G I</t>
  </si>
  <si>
    <t>$L$22</t>
  </si>
  <si>
    <t>G J</t>
  </si>
  <si>
    <t>$C$23</t>
  </si>
  <si>
    <t>H A</t>
  </si>
  <si>
    <t>$D$23</t>
  </si>
  <si>
    <t>H B</t>
  </si>
  <si>
    <t>$E$23</t>
  </si>
  <si>
    <t>H C</t>
  </si>
  <si>
    <t>$F$23</t>
  </si>
  <si>
    <t>H D</t>
  </si>
  <si>
    <t>$G$23</t>
  </si>
  <si>
    <t>H E</t>
  </si>
  <si>
    <t>$H$23</t>
  </si>
  <si>
    <t>H F</t>
  </si>
  <si>
    <t>$I$23</t>
  </si>
  <si>
    <t>H G</t>
  </si>
  <si>
    <t>$J$23</t>
  </si>
  <si>
    <t>H H</t>
  </si>
  <si>
    <t>$K$23</t>
  </si>
  <si>
    <t>H I</t>
  </si>
  <si>
    <t>$L$23</t>
  </si>
  <si>
    <t>H J</t>
  </si>
  <si>
    <t>$C$24</t>
  </si>
  <si>
    <t>I A</t>
  </si>
  <si>
    <t>$D$24</t>
  </si>
  <si>
    <t>I B</t>
  </si>
  <si>
    <t>$E$24</t>
  </si>
  <si>
    <t>I C</t>
  </si>
  <si>
    <t>$F$24</t>
  </si>
  <si>
    <t>I D</t>
  </si>
  <si>
    <t>$G$24</t>
  </si>
  <si>
    <t>I E</t>
  </si>
  <si>
    <t>$H$24</t>
  </si>
  <si>
    <t>I F</t>
  </si>
  <si>
    <t>$I$24</t>
  </si>
  <si>
    <t>I G</t>
  </si>
  <si>
    <t>$J$24</t>
  </si>
  <si>
    <t>I H</t>
  </si>
  <si>
    <t>$K$24</t>
  </si>
  <si>
    <t>I I</t>
  </si>
  <si>
    <t>$L$24</t>
  </si>
  <si>
    <t>I J</t>
  </si>
  <si>
    <t>$C$25</t>
  </si>
  <si>
    <t>J A</t>
  </si>
  <si>
    <t>$D$25</t>
  </si>
  <si>
    <t>J B</t>
  </si>
  <si>
    <t>$E$25</t>
  </si>
  <si>
    <t>J C</t>
  </si>
  <si>
    <t>$F$25</t>
  </si>
  <si>
    <t>J D</t>
  </si>
  <si>
    <t>$G$25</t>
  </si>
  <si>
    <t>J E</t>
  </si>
  <si>
    <t>$H$25</t>
  </si>
  <si>
    <t>J F</t>
  </si>
  <si>
    <t>$I$25</t>
  </si>
  <si>
    <t>J G</t>
  </si>
  <si>
    <t>$J$25</t>
  </si>
  <si>
    <t>J H</t>
  </si>
  <si>
    <t>$K$25</t>
  </si>
  <si>
    <t>J I</t>
  </si>
  <si>
    <t>$L$25</t>
  </si>
  <si>
    <t>J J</t>
  </si>
  <si>
    <t>$C$26</t>
  </si>
  <si>
    <t>Column sum A</t>
  </si>
  <si>
    <t>$C$26=$C$28</t>
  </si>
  <si>
    <t>Binding</t>
  </si>
  <si>
    <t>$D$26</t>
  </si>
  <si>
    <t>Column sum B</t>
  </si>
  <si>
    <t>$D$26=$D$28</t>
  </si>
  <si>
    <t>$E$26</t>
  </si>
  <si>
    <t>Column sum C</t>
  </si>
  <si>
    <t>$E$26=$E$28</t>
  </si>
  <si>
    <t>$F$26</t>
  </si>
  <si>
    <t>Column sum D</t>
  </si>
  <si>
    <t>$F$26=$F$28</t>
  </si>
  <si>
    <t>$G$26</t>
  </si>
  <si>
    <t>Column sum E</t>
  </si>
  <si>
    <t>$G$26=$G$28</t>
  </si>
  <si>
    <t>$H$26</t>
  </si>
  <si>
    <t>Column sum F</t>
  </si>
  <si>
    <t>$H$26=$H$28</t>
  </si>
  <si>
    <t>$I$26</t>
  </si>
  <si>
    <t>Column sum G</t>
  </si>
  <si>
    <t>$I$26=$I$28</t>
  </si>
  <si>
    <t>$J$26</t>
  </si>
  <si>
    <t>Column sum H</t>
  </si>
  <si>
    <t>$J$26=$J$28</t>
  </si>
  <si>
    <t>$K$26</t>
  </si>
  <si>
    <t>Column sum I</t>
  </si>
  <si>
    <t>$K$26=$K$28</t>
  </si>
  <si>
    <t>$L$26</t>
  </si>
  <si>
    <t>Column sum J</t>
  </si>
  <si>
    <t>$L$26=$L$28</t>
  </si>
  <si>
    <t>$M$16</t>
  </si>
  <si>
    <t>A Row Sum</t>
  </si>
  <si>
    <t>$M$16=$O$16</t>
  </si>
  <si>
    <t>$M$17</t>
  </si>
  <si>
    <t>B Row Sum</t>
  </si>
  <si>
    <t>$M$17=$O$17</t>
  </si>
  <si>
    <t>$M$18</t>
  </si>
  <si>
    <t>C Row Sum</t>
  </si>
  <si>
    <t>$M$18=$O$18</t>
  </si>
  <si>
    <t>$M$19</t>
  </si>
  <si>
    <t>D Row Sum</t>
  </si>
  <si>
    <t>$M$19=$O$19</t>
  </si>
  <si>
    <t>$M$20</t>
  </si>
  <si>
    <t>E Row Sum</t>
  </si>
  <si>
    <t>$M$20=$O$20</t>
  </si>
  <si>
    <t>$M$21</t>
  </si>
  <si>
    <t>F Row Sum</t>
  </si>
  <si>
    <t>$M$21=$O$21</t>
  </si>
  <si>
    <t>$M$22</t>
  </si>
  <si>
    <t>G Row Sum</t>
  </si>
  <si>
    <t>$M$22=$O$22</t>
  </si>
  <si>
    <t>$M$23</t>
  </si>
  <si>
    <t>H Row Sum</t>
  </si>
  <si>
    <t>$M$23=$O$23</t>
  </si>
  <si>
    <t>$M$24</t>
  </si>
  <si>
    <t>I Row Sum</t>
  </si>
  <si>
    <t>$M$24=$O$24</t>
  </si>
  <si>
    <t>$M$25</t>
  </si>
  <si>
    <t>J Row Sum</t>
  </si>
  <si>
    <t>$M$25=$O$25</t>
  </si>
  <si>
    <t>$C$16:$L$25=Binary</t>
  </si>
  <si>
    <t>Binary</t>
  </si>
  <si>
    <t>HF</t>
  </si>
  <si>
    <t>FE</t>
  </si>
  <si>
    <t>BDGB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</si>
</sst>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 wrapText="1"/>
    </xf>
    <xf numFmtId="0" fontId="0" fillId="2" borderId="1" xfId="0" applyFill="1" applyBorder="1"/>
    <xf numFmtId="0" fontId="0" fillId="3" borderId="2" xfId="0" applyFill="1" applyBorder="1"/>
    <xf numFmtId="0" fontId="3" fillId="0" borderId="0" xfId="0" applyFont="1"/>
    <xf numFmtId="0" fontId="0" fillId="0" borderId="4" xfId="0" applyBorder="1"/>
    <xf numFmtId="0" fontId="4" fillId="0" borderId="3" xfId="0" applyFont="1" applyBorder="1" applyAlignment="1">
      <alignment horizontal="center"/>
    </xf>
    <xf numFmtId="0" fontId="0" fillId="0" borderId="5" xfId="0" applyBorder="1"/>
    <xf numFmtId="0" fontId="0" fillId="4" borderId="2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6DD4-C785-439E-9E7C-612F01F55B09}">
  <dimension ref="B3:L26"/>
  <sheetViews>
    <sheetView zoomScale="70" zoomScaleNormal="70" workbookViewId="0">
      <selection activeCell="C17" sqref="C17:L26"/>
    </sheetView>
  </sheetViews>
  <sheetFormatPr defaultRowHeight="14.4" x14ac:dyDescent="0.3"/>
  <cols>
    <col min="2" max="2" width="33" customWidth="1"/>
    <col min="3" max="3" width="12.33203125" customWidth="1"/>
    <col min="4" max="4" width="10.44140625" customWidth="1"/>
    <col min="6" max="6" width="13.88671875" customWidth="1"/>
    <col min="9" max="9" width="15.33203125" customWidth="1"/>
  </cols>
  <sheetData>
    <row r="3" spans="2:12" s="1" customFormat="1" ht="72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</row>
    <row r="4" spans="2:12" x14ac:dyDescent="0.3">
      <c r="B4" s="2" t="s">
        <v>0</v>
      </c>
      <c r="C4">
        <v>1000</v>
      </c>
      <c r="D4">
        <v>18.600000000000001</v>
      </c>
      <c r="E4">
        <v>21.1</v>
      </c>
      <c r="F4">
        <v>25</v>
      </c>
      <c r="G4">
        <v>5.8</v>
      </c>
      <c r="H4">
        <v>7.6</v>
      </c>
      <c r="I4">
        <v>36.9</v>
      </c>
      <c r="J4">
        <v>6.2</v>
      </c>
      <c r="K4">
        <v>7.9</v>
      </c>
      <c r="L4">
        <v>3.4</v>
      </c>
    </row>
    <row r="5" spans="2:12" x14ac:dyDescent="0.3">
      <c r="B5" s="2" t="s">
        <v>1</v>
      </c>
      <c r="C5">
        <v>18.600000000000001</v>
      </c>
      <c r="D5">
        <v>1000</v>
      </c>
      <c r="E5">
        <v>18</v>
      </c>
      <c r="F5">
        <v>10.3</v>
      </c>
      <c r="G5">
        <v>12.7</v>
      </c>
      <c r="H5">
        <v>11.7</v>
      </c>
      <c r="I5">
        <v>18.7</v>
      </c>
      <c r="J5">
        <v>13.3</v>
      </c>
      <c r="K5">
        <v>13.9</v>
      </c>
      <c r="L5">
        <v>16.2</v>
      </c>
    </row>
    <row r="6" spans="2:12" x14ac:dyDescent="0.3">
      <c r="B6" s="2" t="s">
        <v>2</v>
      </c>
      <c r="C6">
        <v>21.1</v>
      </c>
      <c r="D6">
        <v>18</v>
      </c>
      <c r="E6">
        <v>1000</v>
      </c>
      <c r="F6">
        <v>24.4</v>
      </c>
      <c r="G6">
        <v>16.3</v>
      </c>
      <c r="H6">
        <v>17.2</v>
      </c>
      <c r="I6">
        <v>36.4</v>
      </c>
      <c r="J6">
        <v>16.600000000000001</v>
      </c>
      <c r="K6">
        <v>13.6</v>
      </c>
      <c r="L6">
        <v>17.7</v>
      </c>
    </row>
    <row r="7" spans="2:12" x14ac:dyDescent="0.3">
      <c r="B7" s="2" t="s">
        <v>3</v>
      </c>
      <c r="C7">
        <v>25</v>
      </c>
      <c r="D7">
        <v>10.3</v>
      </c>
      <c r="E7">
        <v>24.4</v>
      </c>
      <c r="F7">
        <v>1000</v>
      </c>
      <c r="G7">
        <v>19.100000000000001</v>
      </c>
      <c r="H7">
        <v>18.100000000000001</v>
      </c>
      <c r="I7">
        <v>26.3</v>
      </c>
      <c r="J7">
        <v>19.7</v>
      </c>
      <c r="K7">
        <v>20.399999999999999</v>
      </c>
      <c r="L7">
        <v>22.6</v>
      </c>
    </row>
    <row r="8" spans="2:12" x14ac:dyDescent="0.3">
      <c r="B8" s="2" t="s">
        <v>4</v>
      </c>
      <c r="C8">
        <v>5.8</v>
      </c>
      <c r="D8">
        <v>12.7</v>
      </c>
      <c r="E8">
        <v>16.3</v>
      </c>
      <c r="F8">
        <v>19.100000000000001</v>
      </c>
      <c r="G8">
        <v>1000</v>
      </c>
      <c r="H8">
        <v>1.8</v>
      </c>
      <c r="I8">
        <v>31.1</v>
      </c>
      <c r="J8">
        <v>0.65</v>
      </c>
      <c r="K8">
        <v>3.7</v>
      </c>
      <c r="L8">
        <v>3.6</v>
      </c>
    </row>
    <row r="9" spans="2:12" x14ac:dyDescent="0.3">
      <c r="B9" s="2" t="s">
        <v>5</v>
      </c>
      <c r="C9">
        <v>7.6</v>
      </c>
      <c r="D9">
        <v>11.7</v>
      </c>
      <c r="E9">
        <v>17.2</v>
      </c>
      <c r="F9">
        <v>18.100000000000001</v>
      </c>
      <c r="G9">
        <v>1.8</v>
      </c>
      <c r="H9">
        <v>1000</v>
      </c>
      <c r="I9">
        <v>31</v>
      </c>
      <c r="J9">
        <v>1.6</v>
      </c>
      <c r="K9">
        <v>2.9</v>
      </c>
      <c r="L9">
        <v>4.5</v>
      </c>
    </row>
    <row r="10" spans="2:12" x14ac:dyDescent="0.3">
      <c r="B10" s="2" t="s">
        <v>6</v>
      </c>
      <c r="C10">
        <v>36.9</v>
      </c>
      <c r="D10">
        <v>18.7</v>
      </c>
      <c r="E10">
        <v>36.4</v>
      </c>
      <c r="F10">
        <v>26.3</v>
      </c>
      <c r="G10">
        <v>31.1</v>
      </c>
      <c r="H10">
        <v>31</v>
      </c>
      <c r="I10">
        <v>1000</v>
      </c>
      <c r="J10">
        <v>31.6</v>
      </c>
      <c r="K10">
        <v>32.299999999999997</v>
      </c>
      <c r="L10">
        <v>34.5</v>
      </c>
    </row>
    <row r="11" spans="2:12" x14ac:dyDescent="0.3">
      <c r="B11" s="2" t="s">
        <v>7</v>
      </c>
      <c r="C11">
        <v>6.2</v>
      </c>
      <c r="D11">
        <v>13.3</v>
      </c>
      <c r="E11">
        <v>16.600000000000001</v>
      </c>
      <c r="F11">
        <v>19.7</v>
      </c>
      <c r="G11">
        <v>0.65</v>
      </c>
      <c r="H11">
        <v>1.6</v>
      </c>
      <c r="I11">
        <v>31.6</v>
      </c>
      <c r="J11">
        <v>1000</v>
      </c>
      <c r="K11">
        <v>4</v>
      </c>
      <c r="L11">
        <v>3.1</v>
      </c>
    </row>
    <row r="12" spans="2:12" x14ac:dyDescent="0.3">
      <c r="B12" s="2" t="s">
        <v>8</v>
      </c>
      <c r="C12">
        <v>7.9</v>
      </c>
      <c r="D12">
        <v>13.9</v>
      </c>
      <c r="E12">
        <v>13.6</v>
      </c>
      <c r="F12">
        <v>20.399999999999999</v>
      </c>
      <c r="G12">
        <v>3.7</v>
      </c>
      <c r="H12">
        <v>2.9</v>
      </c>
      <c r="I12">
        <v>32.299999999999997</v>
      </c>
      <c r="J12">
        <v>4</v>
      </c>
      <c r="K12">
        <v>1000</v>
      </c>
      <c r="L12">
        <v>5.3</v>
      </c>
    </row>
    <row r="13" spans="2:12" x14ac:dyDescent="0.3">
      <c r="B13" s="2" t="s">
        <v>9</v>
      </c>
      <c r="C13">
        <v>3.4</v>
      </c>
      <c r="D13">
        <v>16.2</v>
      </c>
      <c r="E13">
        <v>17.7</v>
      </c>
      <c r="F13">
        <v>22.6</v>
      </c>
      <c r="G13">
        <v>3.6</v>
      </c>
      <c r="H13">
        <v>4.5</v>
      </c>
      <c r="I13">
        <v>34.5</v>
      </c>
      <c r="J13">
        <v>3.1</v>
      </c>
      <c r="K13">
        <v>5.3</v>
      </c>
      <c r="L13">
        <v>1000</v>
      </c>
    </row>
    <row r="14" spans="2:12" ht="15.6" x14ac:dyDescent="0.3">
      <c r="B14" s="3"/>
    </row>
    <row r="15" spans="2:12" x14ac:dyDescent="0.3">
      <c r="B15" t="s">
        <v>10</v>
      </c>
    </row>
    <row r="17" spans="3:12" x14ac:dyDescent="0.3">
      <c r="C17">
        <v>44444</v>
      </c>
      <c r="D17">
        <v>19.7</v>
      </c>
      <c r="E17">
        <v>21.1</v>
      </c>
      <c r="F17">
        <v>26.2</v>
      </c>
      <c r="G17">
        <v>7.2</v>
      </c>
      <c r="H17">
        <v>8.6</v>
      </c>
      <c r="I17">
        <v>38.1</v>
      </c>
      <c r="J17">
        <v>6.1</v>
      </c>
      <c r="K17">
        <v>8.9</v>
      </c>
      <c r="L17">
        <v>3.4</v>
      </c>
    </row>
    <row r="18" spans="3:12" x14ac:dyDescent="0.3">
      <c r="C18">
        <v>18.600000000000001</v>
      </c>
      <c r="D18">
        <v>44444</v>
      </c>
      <c r="E18">
        <v>18</v>
      </c>
      <c r="F18">
        <v>9.1999999999999993</v>
      </c>
      <c r="G18">
        <v>12.7</v>
      </c>
      <c r="H18">
        <v>12.7</v>
      </c>
      <c r="I18">
        <v>18.7</v>
      </c>
      <c r="J18">
        <v>13.3</v>
      </c>
      <c r="K18">
        <v>14</v>
      </c>
      <c r="L18">
        <v>15.2</v>
      </c>
    </row>
    <row r="19" spans="3:12" x14ac:dyDescent="0.3">
      <c r="C19">
        <v>21.1</v>
      </c>
      <c r="D19">
        <v>18</v>
      </c>
      <c r="E19">
        <v>44444</v>
      </c>
      <c r="F19">
        <v>24.4</v>
      </c>
      <c r="G19">
        <v>16.3</v>
      </c>
      <c r="H19">
        <v>16.5</v>
      </c>
      <c r="I19">
        <v>36.4</v>
      </c>
      <c r="J19">
        <v>16.600000000000001</v>
      </c>
      <c r="K19">
        <v>13.6</v>
      </c>
      <c r="L19">
        <v>17.7</v>
      </c>
    </row>
    <row r="20" spans="3:12" x14ac:dyDescent="0.3">
      <c r="C20">
        <v>25</v>
      </c>
      <c r="D20">
        <v>9.1999999999999993</v>
      </c>
      <c r="E20">
        <v>24.4</v>
      </c>
      <c r="F20">
        <v>44444</v>
      </c>
      <c r="G20">
        <v>19.100000000000001</v>
      </c>
      <c r="H20">
        <v>19.100000000000001</v>
      </c>
      <c r="I20">
        <v>26.3</v>
      </c>
      <c r="J20">
        <v>19.7</v>
      </c>
      <c r="K20">
        <v>20.399999999999999</v>
      </c>
      <c r="L20">
        <v>22.7</v>
      </c>
    </row>
    <row r="21" spans="3:12" x14ac:dyDescent="0.3">
      <c r="C21">
        <v>5.8</v>
      </c>
      <c r="D21">
        <v>12.7</v>
      </c>
      <c r="E21">
        <v>16.3</v>
      </c>
      <c r="F21">
        <v>19.100000000000001</v>
      </c>
      <c r="G21">
        <v>44444</v>
      </c>
      <c r="H21">
        <v>1.8</v>
      </c>
      <c r="I21">
        <v>31.1</v>
      </c>
      <c r="J21">
        <v>0.65</v>
      </c>
      <c r="K21">
        <v>3.7</v>
      </c>
      <c r="L21">
        <v>3.6</v>
      </c>
    </row>
    <row r="22" spans="3:12" x14ac:dyDescent="0.3">
      <c r="C22">
        <v>7.6</v>
      </c>
      <c r="D22">
        <v>11.7</v>
      </c>
      <c r="E22">
        <v>17.2</v>
      </c>
      <c r="F22">
        <v>18.100000000000001</v>
      </c>
      <c r="G22">
        <v>1.8</v>
      </c>
      <c r="H22">
        <v>44444</v>
      </c>
      <c r="I22">
        <v>31</v>
      </c>
      <c r="J22">
        <v>1.6</v>
      </c>
      <c r="K22">
        <v>2.9</v>
      </c>
      <c r="L22">
        <v>4.5</v>
      </c>
    </row>
    <row r="23" spans="3:12" x14ac:dyDescent="0.3">
      <c r="C23">
        <v>36.9</v>
      </c>
      <c r="D23">
        <v>18.7</v>
      </c>
      <c r="E23">
        <v>36.4</v>
      </c>
      <c r="F23">
        <v>26.3</v>
      </c>
      <c r="G23">
        <v>31.1</v>
      </c>
      <c r="H23">
        <v>31</v>
      </c>
      <c r="I23">
        <v>44444</v>
      </c>
      <c r="J23">
        <v>31.6</v>
      </c>
      <c r="K23">
        <v>32.299999999999997</v>
      </c>
      <c r="L23">
        <v>34.5</v>
      </c>
    </row>
    <row r="24" spans="3:12" x14ac:dyDescent="0.3">
      <c r="C24">
        <v>6.1</v>
      </c>
      <c r="D24">
        <v>13.3</v>
      </c>
      <c r="E24">
        <v>16.600000000000001</v>
      </c>
      <c r="F24">
        <v>19.7</v>
      </c>
      <c r="G24">
        <v>0.65</v>
      </c>
      <c r="H24">
        <v>1.6</v>
      </c>
      <c r="I24">
        <v>31.6</v>
      </c>
      <c r="J24">
        <v>44444</v>
      </c>
      <c r="K24">
        <v>4</v>
      </c>
      <c r="L24">
        <v>3.1</v>
      </c>
    </row>
    <row r="25" spans="3:12" x14ac:dyDescent="0.3">
      <c r="C25">
        <v>8.3000000000000007</v>
      </c>
      <c r="D25">
        <v>14</v>
      </c>
      <c r="E25">
        <v>13.6</v>
      </c>
      <c r="F25">
        <v>20.399999999999999</v>
      </c>
      <c r="G25">
        <v>3.7</v>
      </c>
      <c r="H25">
        <v>2.9</v>
      </c>
      <c r="I25">
        <v>32.299999999999997</v>
      </c>
      <c r="J25">
        <v>4</v>
      </c>
      <c r="K25">
        <v>44444</v>
      </c>
      <c r="L25">
        <v>5.3</v>
      </c>
    </row>
    <row r="26" spans="3:12" x14ac:dyDescent="0.3">
      <c r="C26">
        <v>3.4</v>
      </c>
      <c r="D26">
        <v>16.2</v>
      </c>
      <c r="E26">
        <v>17.7</v>
      </c>
      <c r="F26">
        <v>21.6</v>
      </c>
      <c r="G26">
        <v>3.6</v>
      </c>
      <c r="H26">
        <v>4.5</v>
      </c>
      <c r="I26">
        <v>34.5</v>
      </c>
      <c r="J26">
        <v>3.1</v>
      </c>
      <c r="K26">
        <v>5.3</v>
      </c>
      <c r="L26">
        <v>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55B4-3B17-4BD8-8289-C016F7DE3FBD}">
  <dimension ref="A1:G145"/>
  <sheetViews>
    <sheetView showGridLines="0" workbookViewId="0"/>
  </sheetViews>
  <sheetFormatPr defaultRowHeight="14.4" x14ac:dyDescent="0.3"/>
  <cols>
    <col min="1" max="1" width="2.33203125" customWidth="1"/>
    <col min="2" max="2" width="17.88671875" bestFit="1" customWidth="1"/>
    <col min="3" max="3" width="12.6640625" bestFit="1" customWidth="1"/>
    <col min="4" max="4" width="12.5546875" bestFit="1" customWidth="1"/>
    <col min="5" max="5" width="12.77734375" bestFit="1" customWidth="1"/>
    <col min="6" max="6" width="6.88671875" bestFit="1" customWidth="1"/>
    <col min="7" max="7" width="5.6640625" bestFit="1" customWidth="1"/>
  </cols>
  <sheetData>
    <row r="1" spans="1:5" x14ac:dyDescent="0.3">
      <c r="A1" s="7" t="s">
        <v>27</v>
      </c>
    </row>
    <row r="2" spans="1:5" x14ac:dyDescent="0.3">
      <c r="A2" s="7" t="s">
        <v>28</v>
      </c>
    </row>
    <row r="3" spans="1:5" x14ac:dyDescent="0.3">
      <c r="A3" s="7" t="s">
        <v>29</v>
      </c>
    </row>
    <row r="4" spans="1:5" x14ac:dyDescent="0.3">
      <c r="A4" s="7" t="s">
        <v>30</v>
      </c>
    </row>
    <row r="5" spans="1:5" x14ac:dyDescent="0.3">
      <c r="A5" s="7" t="s">
        <v>31</v>
      </c>
    </row>
    <row r="6" spans="1:5" x14ac:dyDescent="0.3">
      <c r="A6" s="7"/>
      <c r="B6" t="s">
        <v>32</v>
      </c>
    </row>
    <row r="7" spans="1:5" x14ac:dyDescent="0.3">
      <c r="A7" s="7"/>
      <c r="B7" t="s">
        <v>33</v>
      </c>
    </row>
    <row r="8" spans="1:5" x14ac:dyDescent="0.3">
      <c r="A8" s="7"/>
      <c r="B8" t="s">
        <v>34</v>
      </c>
    </row>
    <row r="9" spans="1:5" x14ac:dyDescent="0.3">
      <c r="A9" s="7" t="s">
        <v>35</v>
      </c>
    </row>
    <row r="10" spans="1:5" x14ac:dyDescent="0.3">
      <c r="B10" t="s">
        <v>36</v>
      </c>
    </row>
    <row r="11" spans="1:5" x14ac:dyDescent="0.3">
      <c r="B11" t="s">
        <v>37</v>
      </c>
    </row>
    <row r="14" spans="1:5" ht="15" thickBot="1" x14ac:dyDescent="0.35">
      <c r="A14" t="s">
        <v>38</v>
      </c>
    </row>
    <row r="15" spans="1:5" ht="15" thickBot="1" x14ac:dyDescent="0.35">
      <c r="B15" s="9" t="s">
        <v>39</v>
      </c>
      <c r="C15" s="9" t="s">
        <v>40</v>
      </c>
      <c r="D15" s="9" t="s">
        <v>41</v>
      </c>
      <c r="E15" s="9" t="s">
        <v>42</v>
      </c>
    </row>
    <row r="16" spans="1:5" ht="15" thickBot="1" x14ac:dyDescent="0.35">
      <c r="B16" s="8" t="s">
        <v>50</v>
      </c>
      <c r="C16" s="8"/>
      <c r="D16" s="8">
        <v>0</v>
      </c>
      <c r="E16" s="8">
        <v>97.09999999999998</v>
      </c>
    </row>
    <row r="19" spans="1:6" ht="15" thickBot="1" x14ac:dyDescent="0.35">
      <c r="A19" t="s">
        <v>43</v>
      </c>
    </row>
    <row r="20" spans="1:6" ht="15" thickBot="1" x14ac:dyDescent="0.35">
      <c r="B20" s="9" t="s">
        <v>39</v>
      </c>
      <c r="C20" s="9" t="s">
        <v>40</v>
      </c>
      <c r="D20" s="9" t="s">
        <v>41</v>
      </c>
      <c r="E20" s="9" t="s">
        <v>42</v>
      </c>
      <c r="F20" s="9" t="s">
        <v>44</v>
      </c>
    </row>
    <row r="21" spans="1:6" x14ac:dyDescent="0.3">
      <c r="B21" s="10" t="s">
        <v>51</v>
      </c>
      <c r="C21" s="10" t="s">
        <v>52</v>
      </c>
      <c r="D21" s="10">
        <v>0</v>
      </c>
      <c r="E21" s="10">
        <v>0</v>
      </c>
      <c r="F21" s="10" t="s">
        <v>313</v>
      </c>
    </row>
    <row r="22" spans="1:6" x14ac:dyDescent="0.3">
      <c r="B22" s="10" t="s">
        <v>53</v>
      </c>
      <c r="C22" s="10" t="s">
        <v>54</v>
      </c>
      <c r="D22" s="10">
        <v>0</v>
      </c>
      <c r="E22" s="10">
        <v>0</v>
      </c>
      <c r="F22" s="10" t="s">
        <v>313</v>
      </c>
    </row>
    <row r="23" spans="1:6" x14ac:dyDescent="0.3">
      <c r="B23" s="10" t="s">
        <v>55</v>
      </c>
      <c r="C23" s="10" t="s">
        <v>56</v>
      </c>
      <c r="D23" s="10">
        <v>0</v>
      </c>
      <c r="E23" s="10">
        <v>0</v>
      </c>
      <c r="F23" s="10" t="s">
        <v>313</v>
      </c>
    </row>
    <row r="24" spans="1:6" x14ac:dyDescent="0.3">
      <c r="B24" s="10" t="s">
        <v>57</v>
      </c>
      <c r="C24" s="10" t="s">
        <v>58</v>
      </c>
      <c r="D24" s="10">
        <v>0</v>
      </c>
      <c r="E24" s="10">
        <v>0</v>
      </c>
      <c r="F24" s="10" t="s">
        <v>313</v>
      </c>
    </row>
    <row r="25" spans="1:6" x14ac:dyDescent="0.3">
      <c r="B25" s="10" t="s">
        <v>59</v>
      </c>
      <c r="C25" s="10" t="s">
        <v>60</v>
      </c>
      <c r="D25" s="10">
        <v>0</v>
      </c>
      <c r="E25" s="10">
        <v>0</v>
      </c>
      <c r="F25" s="10" t="s">
        <v>313</v>
      </c>
    </row>
    <row r="26" spans="1:6" x14ac:dyDescent="0.3">
      <c r="B26" s="10" t="s">
        <v>61</v>
      </c>
      <c r="C26" s="10" t="s">
        <v>62</v>
      </c>
      <c r="D26" s="10">
        <v>0</v>
      </c>
      <c r="E26" s="10">
        <v>0</v>
      </c>
      <c r="F26" s="10" t="s">
        <v>313</v>
      </c>
    </row>
    <row r="27" spans="1:6" x14ac:dyDescent="0.3">
      <c r="B27" s="10" t="s">
        <v>63</v>
      </c>
      <c r="C27" s="10" t="s">
        <v>64</v>
      </c>
      <c r="D27" s="10">
        <v>0</v>
      </c>
      <c r="E27" s="10">
        <v>0</v>
      </c>
      <c r="F27" s="10" t="s">
        <v>313</v>
      </c>
    </row>
    <row r="28" spans="1:6" x14ac:dyDescent="0.3">
      <c r="B28" s="10" t="s">
        <v>65</v>
      </c>
      <c r="C28" s="10" t="s">
        <v>66</v>
      </c>
      <c r="D28" s="10">
        <v>0</v>
      </c>
      <c r="E28" s="10">
        <v>0</v>
      </c>
      <c r="F28" s="10" t="s">
        <v>313</v>
      </c>
    </row>
    <row r="29" spans="1:6" x14ac:dyDescent="0.3">
      <c r="B29" s="10" t="s">
        <v>67</v>
      </c>
      <c r="C29" s="10" t="s">
        <v>68</v>
      </c>
      <c r="D29" s="10">
        <v>0</v>
      </c>
      <c r="E29" s="10">
        <v>0</v>
      </c>
      <c r="F29" s="10" t="s">
        <v>313</v>
      </c>
    </row>
    <row r="30" spans="1:6" x14ac:dyDescent="0.3">
      <c r="B30" s="10" t="s">
        <v>69</v>
      </c>
      <c r="C30" s="10" t="s">
        <v>70</v>
      </c>
      <c r="D30" s="10">
        <v>0</v>
      </c>
      <c r="E30" s="10">
        <v>1</v>
      </c>
      <c r="F30" s="10" t="s">
        <v>313</v>
      </c>
    </row>
    <row r="31" spans="1:6" x14ac:dyDescent="0.3">
      <c r="B31" s="10" t="s">
        <v>71</v>
      </c>
      <c r="C31" s="10" t="s">
        <v>72</v>
      </c>
      <c r="D31" s="10">
        <v>0</v>
      </c>
      <c r="E31" s="10">
        <v>0</v>
      </c>
      <c r="F31" s="10" t="s">
        <v>313</v>
      </c>
    </row>
    <row r="32" spans="1:6" x14ac:dyDescent="0.3">
      <c r="B32" s="10" t="s">
        <v>73</v>
      </c>
      <c r="C32" s="10" t="s">
        <v>74</v>
      </c>
      <c r="D32" s="10">
        <v>0</v>
      </c>
      <c r="E32" s="10">
        <v>0</v>
      </c>
      <c r="F32" s="10" t="s">
        <v>313</v>
      </c>
    </row>
    <row r="33" spans="2:6" x14ac:dyDescent="0.3">
      <c r="B33" s="10" t="s">
        <v>75</v>
      </c>
      <c r="C33" s="10" t="s">
        <v>76</v>
      </c>
      <c r="D33" s="10">
        <v>0</v>
      </c>
      <c r="E33" s="10">
        <v>0</v>
      </c>
      <c r="F33" s="10" t="s">
        <v>313</v>
      </c>
    </row>
    <row r="34" spans="2:6" x14ac:dyDescent="0.3">
      <c r="B34" s="10" t="s">
        <v>77</v>
      </c>
      <c r="C34" s="10" t="s">
        <v>78</v>
      </c>
      <c r="D34" s="10">
        <v>0</v>
      </c>
      <c r="E34" s="10">
        <v>1</v>
      </c>
      <c r="F34" s="10" t="s">
        <v>313</v>
      </c>
    </row>
    <row r="35" spans="2:6" x14ac:dyDescent="0.3">
      <c r="B35" s="10" t="s">
        <v>79</v>
      </c>
      <c r="C35" s="10" t="s">
        <v>80</v>
      </c>
      <c r="D35" s="10">
        <v>0</v>
      </c>
      <c r="E35" s="10">
        <v>0</v>
      </c>
      <c r="F35" s="10" t="s">
        <v>313</v>
      </c>
    </row>
    <row r="36" spans="2:6" x14ac:dyDescent="0.3">
      <c r="B36" s="10" t="s">
        <v>81</v>
      </c>
      <c r="C36" s="10" t="s">
        <v>82</v>
      </c>
      <c r="D36" s="10">
        <v>0</v>
      </c>
      <c r="E36" s="10">
        <v>0</v>
      </c>
      <c r="F36" s="10" t="s">
        <v>313</v>
      </c>
    </row>
    <row r="37" spans="2:6" x14ac:dyDescent="0.3">
      <c r="B37" s="10" t="s">
        <v>83</v>
      </c>
      <c r="C37" s="10" t="s">
        <v>84</v>
      </c>
      <c r="D37" s="10">
        <v>0</v>
      </c>
      <c r="E37" s="10">
        <v>0</v>
      </c>
      <c r="F37" s="10" t="s">
        <v>313</v>
      </c>
    </row>
    <row r="38" spans="2:6" x14ac:dyDescent="0.3">
      <c r="B38" s="10" t="s">
        <v>85</v>
      </c>
      <c r="C38" s="10" t="s">
        <v>86</v>
      </c>
      <c r="D38" s="10">
        <v>0</v>
      </c>
      <c r="E38" s="10">
        <v>0</v>
      </c>
      <c r="F38" s="10" t="s">
        <v>313</v>
      </c>
    </row>
    <row r="39" spans="2:6" x14ac:dyDescent="0.3">
      <c r="B39" s="10" t="s">
        <v>87</v>
      </c>
      <c r="C39" s="10" t="s">
        <v>88</v>
      </c>
      <c r="D39" s="10">
        <v>0</v>
      </c>
      <c r="E39" s="10">
        <v>0</v>
      </c>
      <c r="F39" s="10" t="s">
        <v>313</v>
      </c>
    </row>
    <row r="40" spans="2:6" x14ac:dyDescent="0.3">
      <c r="B40" s="10" t="s">
        <v>89</v>
      </c>
      <c r="C40" s="10" t="s">
        <v>90</v>
      </c>
      <c r="D40" s="10">
        <v>0</v>
      </c>
      <c r="E40" s="10">
        <v>0</v>
      </c>
      <c r="F40" s="10" t="s">
        <v>313</v>
      </c>
    </row>
    <row r="41" spans="2:6" x14ac:dyDescent="0.3">
      <c r="B41" s="10" t="s">
        <v>91</v>
      </c>
      <c r="C41" s="10" t="s">
        <v>92</v>
      </c>
      <c r="D41" s="10">
        <v>0</v>
      </c>
      <c r="E41" s="10">
        <v>0</v>
      </c>
      <c r="F41" s="10" t="s">
        <v>313</v>
      </c>
    </row>
    <row r="42" spans="2:6" x14ac:dyDescent="0.3">
      <c r="B42" s="10" t="s">
        <v>93</v>
      </c>
      <c r="C42" s="10" t="s">
        <v>94</v>
      </c>
      <c r="D42" s="10">
        <v>0</v>
      </c>
      <c r="E42" s="10">
        <v>0</v>
      </c>
      <c r="F42" s="10" t="s">
        <v>313</v>
      </c>
    </row>
    <row r="43" spans="2:6" x14ac:dyDescent="0.3">
      <c r="B43" s="10" t="s">
        <v>95</v>
      </c>
      <c r="C43" s="10" t="s">
        <v>96</v>
      </c>
      <c r="D43" s="10">
        <v>0</v>
      </c>
      <c r="E43" s="10">
        <v>0</v>
      </c>
      <c r="F43" s="10" t="s">
        <v>313</v>
      </c>
    </row>
    <row r="44" spans="2:6" x14ac:dyDescent="0.3">
      <c r="B44" s="10" t="s">
        <v>97</v>
      </c>
      <c r="C44" s="10" t="s">
        <v>98</v>
      </c>
      <c r="D44" s="10">
        <v>0</v>
      </c>
      <c r="E44" s="10">
        <v>0</v>
      </c>
      <c r="F44" s="10" t="s">
        <v>313</v>
      </c>
    </row>
    <row r="45" spans="2:6" x14ac:dyDescent="0.3">
      <c r="B45" s="10" t="s">
        <v>99</v>
      </c>
      <c r="C45" s="10" t="s">
        <v>100</v>
      </c>
      <c r="D45" s="10">
        <v>0</v>
      </c>
      <c r="E45" s="10">
        <v>0</v>
      </c>
      <c r="F45" s="10" t="s">
        <v>313</v>
      </c>
    </row>
    <row r="46" spans="2:6" x14ac:dyDescent="0.3">
      <c r="B46" s="10" t="s">
        <v>101</v>
      </c>
      <c r="C46" s="10" t="s">
        <v>102</v>
      </c>
      <c r="D46" s="10">
        <v>0</v>
      </c>
      <c r="E46" s="10">
        <v>0</v>
      </c>
      <c r="F46" s="10" t="s">
        <v>313</v>
      </c>
    </row>
    <row r="47" spans="2:6" x14ac:dyDescent="0.3">
      <c r="B47" s="10" t="s">
        <v>103</v>
      </c>
      <c r="C47" s="10" t="s">
        <v>104</v>
      </c>
      <c r="D47" s="10">
        <v>0</v>
      </c>
      <c r="E47" s="10">
        <v>0</v>
      </c>
      <c r="F47" s="10" t="s">
        <v>313</v>
      </c>
    </row>
    <row r="48" spans="2:6" x14ac:dyDescent="0.3">
      <c r="B48" s="10" t="s">
        <v>105</v>
      </c>
      <c r="C48" s="10" t="s">
        <v>106</v>
      </c>
      <c r="D48" s="10">
        <v>0</v>
      </c>
      <c r="E48" s="10">
        <v>0</v>
      </c>
      <c r="F48" s="10" t="s">
        <v>313</v>
      </c>
    </row>
    <row r="49" spans="2:6" x14ac:dyDescent="0.3">
      <c r="B49" s="10" t="s">
        <v>107</v>
      </c>
      <c r="C49" s="10" t="s">
        <v>108</v>
      </c>
      <c r="D49" s="10">
        <v>0</v>
      </c>
      <c r="E49" s="10">
        <v>1</v>
      </c>
      <c r="F49" s="10" t="s">
        <v>313</v>
      </c>
    </row>
    <row r="50" spans="2:6" x14ac:dyDescent="0.3">
      <c r="B50" s="10" t="s">
        <v>109</v>
      </c>
      <c r="C50" s="10" t="s">
        <v>110</v>
      </c>
      <c r="D50" s="10">
        <v>0</v>
      </c>
      <c r="E50" s="10">
        <v>0</v>
      </c>
      <c r="F50" s="10" t="s">
        <v>313</v>
      </c>
    </row>
    <row r="51" spans="2:6" x14ac:dyDescent="0.3">
      <c r="B51" s="10" t="s">
        <v>111</v>
      </c>
      <c r="C51" s="10" t="s">
        <v>112</v>
      </c>
      <c r="D51" s="10">
        <v>0</v>
      </c>
      <c r="E51" s="10">
        <v>0</v>
      </c>
      <c r="F51" s="10" t="s">
        <v>313</v>
      </c>
    </row>
    <row r="52" spans="2:6" x14ac:dyDescent="0.3">
      <c r="B52" s="10" t="s">
        <v>113</v>
      </c>
      <c r="C52" s="10" t="s">
        <v>114</v>
      </c>
      <c r="D52" s="10">
        <v>0</v>
      </c>
      <c r="E52" s="10">
        <v>0</v>
      </c>
      <c r="F52" s="10" t="s">
        <v>313</v>
      </c>
    </row>
    <row r="53" spans="2:6" x14ac:dyDescent="0.3">
      <c r="B53" s="10" t="s">
        <v>115</v>
      </c>
      <c r="C53" s="10" t="s">
        <v>116</v>
      </c>
      <c r="D53" s="10">
        <v>0</v>
      </c>
      <c r="E53" s="10">
        <v>0</v>
      </c>
      <c r="F53" s="10" t="s">
        <v>313</v>
      </c>
    </row>
    <row r="54" spans="2:6" x14ac:dyDescent="0.3">
      <c r="B54" s="10" t="s">
        <v>117</v>
      </c>
      <c r="C54" s="10" t="s">
        <v>118</v>
      </c>
      <c r="D54" s="10">
        <v>0</v>
      </c>
      <c r="E54" s="10">
        <v>0</v>
      </c>
      <c r="F54" s="10" t="s">
        <v>313</v>
      </c>
    </row>
    <row r="55" spans="2:6" x14ac:dyDescent="0.3">
      <c r="B55" s="10" t="s">
        <v>119</v>
      </c>
      <c r="C55" s="10" t="s">
        <v>120</v>
      </c>
      <c r="D55" s="10">
        <v>0</v>
      </c>
      <c r="E55" s="10">
        <v>0</v>
      </c>
      <c r="F55" s="10" t="s">
        <v>313</v>
      </c>
    </row>
    <row r="56" spans="2:6" x14ac:dyDescent="0.3">
      <c r="B56" s="10" t="s">
        <v>121</v>
      </c>
      <c r="C56" s="10" t="s">
        <v>122</v>
      </c>
      <c r="D56" s="10">
        <v>0</v>
      </c>
      <c r="E56" s="10">
        <v>0</v>
      </c>
      <c r="F56" s="10" t="s">
        <v>313</v>
      </c>
    </row>
    <row r="57" spans="2:6" x14ac:dyDescent="0.3">
      <c r="B57" s="10" t="s">
        <v>123</v>
      </c>
      <c r="C57" s="10" t="s">
        <v>124</v>
      </c>
      <c r="D57" s="10">
        <v>0</v>
      </c>
      <c r="E57" s="10">
        <v>1</v>
      </c>
      <c r="F57" s="10" t="s">
        <v>313</v>
      </c>
    </row>
    <row r="58" spans="2:6" x14ac:dyDescent="0.3">
      <c r="B58" s="10" t="s">
        <v>125</v>
      </c>
      <c r="C58" s="10" t="s">
        <v>126</v>
      </c>
      <c r="D58" s="10">
        <v>0</v>
      </c>
      <c r="E58" s="10">
        <v>0</v>
      </c>
      <c r="F58" s="10" t="s">
        <v>313</v>
      </c>
    </row>
    <row r="59" spans="2:6" x14ac:dyDescent="0.3">
      <c r="B59" s="10" t="s">
        <v>127</v>
      </c>
      <c r="C59" s="10" t="s">
        <v>128</v>
      </c>
      <c r="D59" s="10">
        <v>0</v>
      </c>
      <c r="E59" s="10">
        <v>0</v>
      </c>
      <c r="F59" s="10" t="s">
        <v>313</v>
      </c>
    </row>
    <row r="60" spans="2:6" x14ac:dyDescent="0.3">
      <c r="B60" s="10" t="s">
        <v>129</v>
      </c>
      <c r="C60" s="10" t="s">
        <v>130</v>
      </c>
      <c r="D60" s="10">
        <v>0</v>
      </c>
      <c r="E60" s="10">
        <v>0</v>
      </c>
      <c r="F60" s="10" t="s">
        <v>313</v>
      </c>
    </row>
    <row r="61" spans="2:6" x14ac:dyDescent="0.3">
      <c r="B61" s="10" t="s">
        <v>131</v>
      </c>
      <c r="C61" s="10" t="s">
        <v>132</v>
      </c>
      <c r="D61" s="10">
        <v>0</v>
      </c>
      <c r="E61" s="10">
        <v>1</v>
      </c>
      <c r="F61" s="10" t="s">
        <v>313</v>
      </c>
    </row>
    <row r="62" spans="2:6" x14ac:dyDescent="0.3">
      <c r="B62" s="10" t="s">
        <v>133</v>
      </c>
      <c r="C62" s="10" t="s">
        <v>134</v>
      </c>
      <c r="D62" s="10">
        <v>0</v>
      </c>
      <c r="E62" s="10">
        <v>0</v>
      </c>
      <c r="F62" s="10" t="s">
        <v>313</v>
      </c>
    </row>
    <row r="63" spans="2:6" x14ac:dyDescent="0.3">
      <c r="B63" s="10" t="s">
        <v>135</v>
      </c>
      <c r="C63" s="10" t="s">
        <v>136</v>
      </c>
      <c r="D63" s="10">
        <v>0</v>
      </c>
      <c r="E63" s="10">
        <v>0</v>
      </c>
      <c r="F63" s="10" t="s">
        <v>313</v>
      </c>
    </row>
    <row r="64" spans="2:6" x14ac:dyDescent="0.3">
      <c r="B64" s="10" t="s">
        <v>137</v>
      </c>
      <c r="C64" s="10" t="s">
        <v>138</v>
      </c>
      <c r="D64" s="10">
        <v>0</v>
      </c>
      <c r="E64" s="10">
        <v>0</v>
      </c>
      <c r="F64" s="10" t="s">
        <v>313</v>
      </c>
    </row>
    <row r="65" spans="2:6" x14ac:dyDescent="0.3">
      <c r="B65" s="10" t="s">
        <v>139</v>
      </c>
      <c r="C65" s="10" t="s">
        <v>140</v>
      </c>
      <c r="D65" s="10">
        <v>0</v>
      </c>
      <c r="E65" s="10">
        <v>0</v>
      </c>
      <c r="F65" s="10" t="s">
        <v>313</v>
      </c>
    </row>
    <row r="66" spans="2:6" x14ac:dyDescent="0.3">
      <c r="B66" s="10" t="s">
        <v>141</v>
      </c>
      <c r="C66" s="10" t="s">
        <v>142</v>
      </c>
      <c r="D66" s="10">
        <v>0</v>
      </c>
      <c r="E66" s="10">
        <v>0</v>
      </c>
      <c r="F66" s="10" t="s">
        <v>313</v>
      </c>
    </row>
    <row r="67" spans="2:6" x14ac:dyDescent="0.3">
      <c r="B67" s="10" t="s">
        <v>143</v>
      </c>
      <c r="C67" s="10" t="s">
        <v>144</v>
      </c>
      <c r="D67" s="10">
        <v>0</v>
      </c>
      <c r="E67" s="10">
        <v>0</v>
      </c>
      <c r="F67" s="10" t="s">
        <v>313</v>
      </c>
    </row>
    <row r="68" spans="2:6" x14ac:dyDescent="0.3">
      <c r="B68" s="10" t="s">
        <v>145</v>
      </c>
      <c r="C68" s="10" t="s">
        <v>146</v>
      </c>
      <c r="D68" s="10">
        <v>0</v>
      </c>
      <c r="E68" s="10">
        <v>0</v>
      </c>
      <c r="F68" s="10" t="s">
        <v>313</v>
      </c>
    </row>
    <row r="69" spans="2:6" x14ac:dyDescent="0.3">
      <c r="B69" s="10" t="s">
        <v>147</v>
      </c>
      <c r="C69" s="10" t="s">
        <v>148</v>
      </c>
      <c r="D69" s="10">
        <v>0</v>
      </c>
      <c r="E69" s="10">
        <v>0</v>
      </c>
      <c r="F69" s="10" t="s">
        <v>313</v>
      </c>
    </row>
    <row r="70" spans="2:6" x14ac:dyDescent="0.3">
      <c r="B70" s="10" t="s">
        <v>149</v>
      </c>
      <c r="C70" s="10" t="s">
        <v>150</v>
      </c>
      <c r="D70" s="10">
        <v>0</v>
      </c>
      <c r="E70" s="10">
        <v>0</v>
      </c>
      <c r="F70" s="10" t="s">
        <v>313</v>
      </c>
    </row>
    <row r="71" spans="2:6" x14ac:dyDescent="0.3">
      <c r="B71" s="10" t="s">
        <v>151</v>
      </c>
      <c r="C71" s="10" t="s">
        <v>152</v>
      </c>
      <c r="D71" s="10">
        <v>0</v>
      </c>
      <c r="E71" s="10">
        <v>0</v>
      </c>
      <c r="F71" s="10" t="s">
        <v>313</v>
      </c>
    </row>
    <row r="72" spans="2:6" x14ac:dyDescent="0.3">
      <c r="B72" s="10" t="s">
        <v>153</v>
      </c>
      <c r="C72" s="10" t="s">
        <v>154</v>
      </c>
      <c r="D72" s="10">
        <v>0</v>
      </c>
      <c r="E72" s="10">
        <v>0</v>
      </c>
      <c r="F72" s="10" t="s">
        <v>313</v>
      </c>
    </row>
    <row r="73" spans="2:6" x14ac:dyDescent="0.3">
      <c r="B73" s="10" t="s">
        <v>155</v>
      </c>
      <c r="C73" s="10" t="s">
        <v>156</v>
      </c>
      <c r="D73" s="10">
        <v>0</v>
      </c>
      <c r="E73" s="10">
        <v>0</v>
      </c>
      <c r="F73" s="10" t="s">
        <v>313</v>
      </c>
    </row>
    <row r="74" spans="2:6" x14ac:dyDescent="0.3">
      <c r="B74" s="10" t="s">
        <v>157</v>
      </c>
      <c r="C74" s="10" t="s">
        <v>158</v>
      </c>
      <c r="D74" s="10">
        <v>0</v>
      </c>
      <c r="E74" s="10">
        <v>0</v>
      </c>
      <c r="F74" s="10" t="s">
        <v>313</v>
      </c>
    </row>
    <row r="75" spans="2:6" x14ac:dyDescent="0.3">
      <c r="B75" s="10" t="s">
        <v>159</v>
      </c>
      <c r="C75" s="10" t="s">
        <v>160</v>
      </c>
      <c r="D75" s="10">
        <v>0</v>
      </c>
      <c r="E75" s="10">
        <v>1</v>
      </c>
      <c r="F75" s="10" t="s">
        <v>313</v>
      </c>
    </row>
    <row r="76" spans="2:6" x14ac:dyDescent="0.3">
      <c r="B76" s="10" t="s">
        <v>161</v>
      </c>
      <c r="C76" s="10" t="s">
        <v>162</v>
      </c>
      <c r="D76" s="10">
        <v>0</v>
      </c>
      <c r="E76" s="10">
        <v>0</v>
      </c>
      <c r="F76" s="10" t="s">
        <v>313</v>
      </c>
    </row>
    <row r="77" spans="2:6" x14ac:dyDescent="0.3">
      <c r="B77" s="10" t="s">
        <v>163</v>
      </c>
      <c r="C77" s="10" t="s">
        <v>164</v>
      </c>
      <c r="D77" s="10">
        <v>0</v>
      </c>
      <c r="E77" s="10">
        <v>0</v>
      </c>
      <c r="F77" s="10" t="s">
        <v>313</v>
      </c>
    </row>
    <row r="78" spans="2:6" x14ac:dyDescent="0.3">
      <c r="B78" s="10" t="s">
        <v>165</v>
      </c>
      <c r="C78" s="10" t="s">
        <v>166</v>
      </c>
      <c r="D78" s="10">
        <v>0</v>
      </c>
      <c r="E78" s="10">
        <v>0</v>
      </c>
      <c r="F78" s="10" t="s">
        <v>313</v>
      </c>
    </row>
    <row r="79" spans="2:6" x14ac:dyDescent="0.3">
      <c r="B79" s="10" t="s">
        <v>167</v>
      </c>
      <c r="C79" s="10" t="s">
        <v>168</v>
      </c>
      <c r="D79" s="10">
        <v>0</v>
      </c>
      <c r="E79" s="10">
        <v>0</v>
      </c>
      <c r="F79" s="10" t="s">
        <v>313</v>
      </c>
    </row>
    <row r="80" spans="2:6" x14ac:dyDescent="0.3">
      <c r="B80" s="10" t="s">
        <v>169</v>
      </c>
      <c r="C80" s="10" t="s">
        <v>170</v>
      </c>
      <c r="D80" s="10">
        <v>0</v>
      </c>
      <c r="E80" s="10">
        <v>0</v>
      </c>
      <c r="F80" s="10" t="s">
        <v>313</v>
      </c>
    </row>
    <row r="81" spans="2:6" x14ac:dyDescent="0.3">
      <c r="B81" s="10" t="s">
        <v>171</v>
      </c>
      <c r="C81" s="10" t="s">
        <v>172</v>
      </c>
      <c r="D81" s="10">
        <v>0</v>
      </c>
      <c r="E81" s="10">
        <v>0</v>
      </c>
      <c r="F81" s="10" t="s">
        <v>313</v>
      </c>
    </row>
    <row r="82" spans="2:6" x14ac:dyDescent="0.3">
      <c r="B82" s="10" t="s">
        <v>173</v>
      </c>
      <c r="C82" s="10" t="s">
        <v>174</v>
      </c>
      <c r="D82" s="10">
        <v>0</v>
      </c>
      <c r="E82" s="10">
        <v>1</v>
      </c>
      <c r="F82" s="10" t="s">
        <v>313</v>
      </c>
    </row>
    <row r="83" spans="2:6" x14ac:dyDescent="0.3">
      <c r="B83" s="10" t="s">
        <v>175</v>
      </c>
      <c r="C83" s="10" t="s">
        <v>176</v>
      </c>
      <c r="D83" s="10">
        <v>0</v>
      </c>
      <c r="E83" s="10">
        <v>0</v>
      </c>
      <c r="F83" s="10" t="s">
        <v>313</v>
      </c>
    </row>
    <row r="84" spans="2:6" x14ac:dyDescent="0.3">
      <c r="B84" s="10" t="s">
        <v>177</v>
      </c>
      <c r="C84" s="10" t="s">
        <v>178</v>
      </c>
      <c r="D84" s="10">
        <v>0</v>
      </c>
      <c r="E84" s="10">
        <v>0</v>
      </c>
      <c r="F84" s="10" t="s">
        <v>313</v>
      </c>
    </row>
    <row r="85" spans="2:6" x14ac:dyDescent="0.3">
      <c r="B85" s="10" t="s">
        <v>179</v>
      </c>
      <c r="C85" s="10" t="s">
        <v>180</v>
      </c>
      <c r="D85" s="10">
        <v>0</v>
      </c>
      <c r="E85" s="10">
        <v>0</v>
      </c>
      <c r="F85" s="10" t="s">
        <v>313</v>
      </c>
    </row>
    <row r="86" spans="2:6" x14ac:dyDescent="0.3">
      <c r="B86" s="10" t="s">
        <v>181</v>
      </c>
      <c r="C86" s="10" t="s">
        <v>182</v>
      </c>
      <c r="D86" s="10">
        <v>0</v>
      </c>
      <c r="E86" s="10">
        <v>0</v>
      </c>
      <c r="F86" s="10" t="s">
        <v>313</v>
      </c>
    </row>
    <row r="87" spans="2:6" x14ac:dyDescent="0.3">
      <c r="B87" s="10" t="s">
        <v>183</v>
      </c>
      <c r="C87" s="10" t="s">
        <v>184</v>
      </c>
      <c r="D87" s="10">
        <v>0</v>
      </c>
      <c r="E87" s="10">
        <v>0</v>
      </c>
      <c r="F87" s="10" t="s">
        <v>313</v>
      </c>
    </row>
    <row r="88" spans="2:6" x14ac:dyDescent="0.3">
      <c r="B88" s="10" t="s">
        <v>185</v>
      </c>
      <c r="C88" s="10" t="s">
        <v>186</v>
      </c>
      <c r="D88" s="10">
        <v>0</v>
      </c>
      <c r="E88" s="10">
        <v>0</v>
      </c>
      <c r="F88" s="10" t="s">
        <v>313</v>
      </c>
    </row>
    <row r="89" spans="2:6" x14ac:dyDescent="0.3">
      <c r="B89" s="10" t="s">
        <v>187</v>
      </c>
      <c r="C89" s="10" t="s">
        <v>188</v>
      </c>
      <c r="D89" s="10">
        <v>0</v>
      </c>
      <c r="E89" s="10">
        <v>0</v>
      </c>
      <c r="F89" s="10" t="s">
        <v>313</v>
      </c>
    </row>
    <row r="90" spans="2:6" x14ac:dyDescent="0.3">
      <c r="B90" s="10" t="s">
        <v>189</v>
      </c>
      <c r="C90" s="10" t="s">
        <v>190</v>
      </c>
      <c r="D90" s="10">
        <v>0</v>
      </c>
      <c r="E90" s="10">
        <v>0</v>
      </c>
      <c r="F90" s="10" t="s">
        <v>313</v>
      </c>
    </row>
    <row r="91" spans="2:6" x14ac:dyDescent="0.3">
      <c r="B91" s="10" t="s">
        <v>191</v>
      </c>
      <c r="C91" s="10" t="s">
        <v>192</v>
      </c>
      <c r="D91" s="10">
        <v>0</v>
      </c>
      <c r="E91" s="10">
        <v>0</v>
      </c>
      <c r="F91" s="10" t="s">
        <v>313</v>
      </c>
    </row>
    <row r="92" spans="2:6" x14ac:dyDescent="0.3">
      <c r="B92" s="10" t="s">
        <v>193</v>
      </c>
      <c r="C92" s="10" t="s">
        <v>194</v>
      </c>
      <c r="D92" s="10">
        <v>0</v>
      </c>
      <c r="E92" s="10">
        <v>0</v>
      </c>
      <c r="F92" s="10" t="s">
        <v>313</v>
      </c>
    </row>
    <row r="93" spans="2:6" x14ac:dyDescent="0.3">
      <c r="B93" s="10" t="s">
        <v>195</v>
      </c>
      <c r="C93" s="10" t="s">
        <v>196</v>
      </c>
      <c r="D93" s="10">
        <v>0</v>
      </c>
      <c r="E93" s="10">
        <v>0</v>
      </c>
      <c r="F93" s="10" t="s">
        <v>313</v>
      </c>
    </row>
    <row r="94" spans="2:6" x14ac:dyDescent="0.3">
      <c r="B94" s="10" t="s">
        <v>197</v>
      </c>
      <c r="C94" s="10" t="s">
        <v>198</v>
      </c>
      <c r="D94" s="10">
        <v>0</v>
      </c>
      <c r="E94" s="10">
        <v>0</v>
      </c>
      <c r="F94" s="10" t="s">
        <v>313</v>
      </c>
    </row>
    <row r="95" spans="2:6" x14ac:dyDescent="0.3">
      <c r="B95" s="10" t="s">
        <v>199</v>
      </c>
      <c r="C95" s="10" t="s">
        <v>200</v>
      </c>
      <c r="D95" s="10">
        <v>0</v>
      </c>
      <c r="E95" s="10">
        <v>0</v>
      </c>
      <c r="F95" s="10" t="s">
        <v>313</v>
      </c>
    </row>
    <row r="96" spans="2:6" x14ac:dyDescent="0.3">
      <c r="B96" s="10" t="s">
        <v>201</v>
      </c>
      <c r="C96" s="10" t="s">
        <v>202</v>
      </c>
      <c r="D96" s="10">
        <v>0</v>
      </c>
      <c r="E96" s="10">
        <v>1</v>
      </c>
      <c r="F96" s="10" t="s">
        <v>313</v>
      </c>
    </row>
    <row r="97" spans="2:6" x14ac:dyDescent="0.3">
      <c r="B97" s="10" t="s">
        <v>203</v>
      </c>
      <c r="C97" s="10" t="s">
        <v>204</v>
      </c>
      <c r="D97" s="10">
        <v>0</v>
      </c>
      <c r="E97" s="10">
        <v>0</v>
      </c>
      <c r="F97" s="10" t="s">
        <v>313</v>
      </c>
    </row>
    <row r="98" spans="2:6" x14ac:dyDescent="0.3">
      <c r="B98" s="10" t="s">
        <v>205</v>
      </c>
      <c r="C98" s="10" t="s">
        <v>206</v>
      </c>
      <c r="D98" s="10">
        <v>0</v>
      </c>
      <c r="E98" s="10">
        <v>0</v>
      </c>
      <c r="F98" s="10" t="s">
        <v>313</v>
      </c>
    </row>
    <row r="99" spans="2:6" x14ac:dyDescent="0.3">
      <c r="B99" s="10" t="s">
        <v>207</v>
      </c>
      <c r="C99" s="10" t="s">
        <v>208</v>
      </c>
      <c r="D99" s="10">
        <v>0</v>
      </c>
      <c r="E99" s="10">
        <v>0</v>
      </c>
      <c r="F99" s="10" t="s">
        <v>313</v>
      </c>
    </row>
    <row r="100" spans="2:6" x14ac:dyDescent="0.3">
      <c r="B100" s="10" t="s">
        <v>209</v>
      </c>
      <c r="C100" s="10" t="s">
        <v>210</v>
      </c>
      <c r="D100" s="10">
        <v>0</v>
      </c>
      <c r="E100" s="10">
        <v>0</v>
      </c>
      <c r="F100" s="10" t="s">
        <v>313</v>
      </c>
    </row>
    <row r="101" spans="2:6" x14ac:dyDescent="0.3">
      <c r="B101" s="10" t="s">
        <v>211</v>
      </c>
      <c r="C101" s="10" t="s">
        <v>212</v>
      </c>
      <c r="D101" s="10">
        <v>0</v>
      </c>
      <c r="E101" s="10">
        <v>0</v>
      </c>
      <c r="F101" s="10" t="s">
        <v>313</v>
      </c>
    </row>
    <row r="102" spans="2:6" x14ac:dyDescent="0.3">
      <c r="B102" s="10" t="s">
        <v>213</v>
      </c>
      <c r="C102" s="10" t="s">
        <v>214</v>
      </c>
      <c r="D102" s="10">
        <v>0</v>
      </c>
      <c r="E102" s="10">
        <v>0</v>
      </c>
      <c r="F102" s="10" t="s">
        <v>313</v>
      </c>
    </row>
    <row r="103" spans="2:6" x14ac:dyDescent="0.3">
      <c r="B103" s="10" t="s">
        <v>215</v>
      </c>
      <c r="C103" s="10" t="s">
        <v>216</v>
      </c>
      <c r="D103" s="10">
        <v>0</v>
      </c>
      <c r="E103" s="10">
        <v>1</v>
      </c>
      <c r="F103" s="10" t="s">
        <v>313</v>
      </c>
    </row>
    <row r="104" spans="2:6" x14ac:dyDescent="0.3">
      <c r="B104" s="10" t="s">
        <v>217</v>
      </c>
      <c r="C104" s="10" t="s">
        <v>218</v>
      </c>
      <c r="D104" s="10">
        <v>0</v>
      </c>
      <c r="E104" s="10">
        <v>0</v>
      </c>
      <c r="F104" s="10" t="s">
        <v>313</v>
      </c>
    </row>
    <row r="105" spans="2:6" x14ac:dyDescent="0.3">
      <c r="B105" s="10" t="s">
        <v>219</v>
      </c>
      <c r="C105" s="10" t="s">
        <v>220</v>
      </c>
      <c r="D105" s="10">
        <v>0</v>
      </c>
      <c r="E105" s="10">
        <v>0</v>
      </c>
      <c r="F105" s="10" t="s">
        <v>313</v>
      </c>
    </row>
    <row r="106" spans="2:6" x14ac:dyDescent="0.3">
      <c r="B106" s="10" t="s">
        <v>221</v>
      </c>
      <c r="C106" s="10" t="s">
        <v>222</v>
      </c>
      <c r="D106" s="10">
        <v>0</v>
      </c>
      <c r="E106" s="10">
        <v>0</v>
      </c>
      <c r="F106" s="10" t="s">
        <v>313</v>
      </c>
    </row>
    <row r="107" spans="2:6" x14ac:dyDescent="0.3">
      <c r="B107" s="10" t="s">
        <v>223</v>
      </c>
      <c r="C107" s="10" t="s">
        <v>224</v>
      </c>
      <c r="D107" s="10">
        <v>0</v>
      </c>
      <c r="E107" s="10">
        <v>0</v>
      </c>
      <c r="F107" s="10" t="s">
        <v>313</v>
      </c>
    </row>
    <row r="108" spans="2:6" x14ac:dyDescent="0.3">
      <c r="B108" s="10" t="s">
        <v>225</v>
      </c>
      <c r="C108" s="10" t="s">
        <v>226</v>
      </c>
      <c r="D108" s="10">
        <v>0</v>
      </c>
      <c r="E108" s="10">
        <v>0</v>
      </c>
      <c r="F108" s="10" t="s">
        <v>313</v>
      </c>
    </row>
    <row r="109" spans="2:6" x14ac:dyDescent="0.3">
      <c r="B109" s="10" t="s">
        <v>227</v>
      </c>
      <c r="C109" s="10" t="s">
        <v>228</v>
      </c>
      <c r="D109" s="10">
        <v>0</v>
      </c>
      <c r="E109" s="10">
        <v>0</v>
      </c>
      <c r="F109" s="10" t="s">
        <v>313</v>
      </c>
    </row>
    <row r="110" spans="2:6" x14ac:dyDescent="0.3">
      <c r="B110" s="10" t="s">
        <v>229</v>
      </c>
      <c r="C110" s="10" t="s">
        <v>230</v>
      </c>
      <c r="D110" s="10">
        <v>0</v>
      </c>
      <c r="E110" s="10">
        <v>0</v>
      </c>
      <c r="F110" s="10" t="s">
        <v>313</v>
      </c>
    </row>
    <row r="111" spans="2:6" x14ac:dyDescent="0.3">
      <c r="B111" s="10" t="s">
        <v>231</v>
      </c>
      <c r="C111" s="10" t="s">
        <v>232</v>
      </c>
      <c r="D111" s="10">
        <v>0</v>
      </c>
      <c r="E111" s="10">
        <v>0</v>
      </c>
      <c r="F111" s="10" t="s">
        <v>313</v>
      </c>
    </row>
    <row r="112" spans="2:6" x14ac:dyDescent="0.3">
      <c r="B112" s="10" t="s">
        <v>233</v>
      </c>
      <c r="C112" s="10" t="s">
        <v>234</v>
      </c>
      <c r="D112" s="10">
        <v>0</v>
      </c>
      <c r="E112" s="10">
        <v>0</v>
      </c>
      <c r="F112" s="10" t="s">
        <v>313</v>
      </c>
    </row>
    <row r="113" spans="1:7" x14ac:dyDescent="0.3">
      <c r="B113" s="10" t="s">
        <v>235</v>
      </c>
      <c r="C113" s="10" t="s">
        <v>236</v>
      </c>
      <c r="D113" s="10">
        <v>0</v>
      </c>
      <c r="E113" s="10">
        <v>0</v>
      </c>
      <c r="F113" s="10" t="s">
        <v>313</v>
      </c>
    </row>
    <row r="114" spans="1:7" x14ac:dyDescent="0.3">
      <c r="B114" s="10" t="s">
        <v>237</v>
      </c>
      <c r="C114" s="10" t="s">
        <v>238</v>
      </c>
      <c r="D114" s="10">
        <v>0</v>
      </c>
      <c r="E114" s="10">
        <v>0</v>
      </c>
      <c r="F114" s="10" t="s">
        <v>313</v>
      </c>
    </row>
    <row r="115" spans="1:7" x14ac:dyDescent="0.3">
      <c r="B115" s="10" t="s">
        <v>239</v>
      </c>
      <c r="C115" s="10" t="s">
        <v>240</v>
      </c>
      <c r="D115" s="10">
        <v>0</v>
      </c>
      <c r="E115" s="10">
        <v>0</v>
      </c>
      <c r="F115" s="10" t="s">
        <v>313</v>
      </c>
    </row>
    <row r="116" spans="1:7" x14ac:dyDescent="0.3">
      <c r="B116" s="10" t="s">
        <v>241</v>
      </c>
      <c r="C116" s="10" t="s">
        <v>242</v>
      </c>
      <c r="D116" s="10">
        <v>0</v>
      </c>
      <c r="E116" s="10">
        <v>0</v>
      </c>
      <c r="F116" s="10" t="s">
        <v>313</v>
      </c>
    </row>
    <row r="117" spans="1:7" x14ac:dyDescent="0.3">
      <c r="B117" s="10" t="s">
        <v>243</v>
      </c>
      <c r="C117" s="10" t="s">
        <v>244</v>
      </c>
      <c r="D117" s="10">
        <v>0</v>
      </c>
      <c r="E117" s="10">
        <v>0</v>
      </c>
      <c r="F117" s="10" t="s">
        <v>313</v>
      </c>
    </row>
    <row r="118" spans="1:7" x14ac:dyDescent="0.3">
      <c r="B118" s="10" t="s">
        <v>245</v>
      </c>
      <c r="C118" s="10" t="s">
        <v>246</v>
      </c>
      <c r="D118" s="10">
        <v>0</v>
      </c>
      <c r="E118" s="10">
        <v>1</v>
      </c>
      <c r="F118" s="10" t="s">
        <v>313</v>
      </c>
    </row>
    <row r="119" spans="1:7" x14ac:dyDescent="0.3">
      <c r="B119" s="10" t="s">
        <v>247</v>
      </c>
      <c r="C119" s="10" t="s">
        <v>248</v>
      </c>
      <c r="D119" s="10">
        <v>0</v>
      </c>
      <c r="E119" s="10">
        <v>0</v>
      </c>
      <c r="F119" s="10" t="s">
        <v>313</v>
      </c>
    </row>
    <row r="120" spans="1:7" ht="15" thickBot="1" x14ac:dyDescent="0.35">
      <c r="B120" s="8" t="s">
        <v>249</v>
      </c>
      <c r="C120" s="8" t="s">
        <v>250</v>
      </c>
      <c r="D120" s="8">
        <v>0</v>
      </c>
      <c r="E120" s="8">
        <v>0</v>
      </c>
      <c r="F120" s="8" t="s">
        <v>313</v>
      </c>
    </row>
    <row r="123" spans="1:7" ht="15" thickBot="1" x14ac:dyDescent="0.35">
      <c r="A123" t="s">
        <v>45</v>
      </c>
    </row>
    <row r="124" spans="1:7" ht="15" thickBot="1" x14ac:dyDescent="0.35">
      <c r="B124" s="9" t="s">
        <v>39</v>
      </c>
      <c r="C124" s="9" t="s">
        <v>40</v>
      </c>
      <c r="D124" s="9" t="s">
        <v>46</v>
      </c>
      <c r="E124" s="9" t="s">
        <v>47</v>
      </c>
      <c r="F124" s="9" t="s">
        <v>48</v>
      </c>
      <c r="G124" s="9" t="s">
        <v>49</v>
      </c>
    </row>
    <row r="125" spans="1:7" x14ac:dyDescent="0.3">
      <c r="B125" s="10" t="s">
        <v>251</v>
      </c>
      <c r="C125" s="10" t="s">
        <v>252</v>
      </c>
      <c r="D125" s="10">
        <v>1</v>
      </c>
      <c r="E125" s="10" t="s">
        <v>253</v>
      </c>
      <c r="F125" s="10" t="s">
        <v>254</v>
      </c>
      <c r="G125" s="10">
        <v>0</v>
      </c>
    </row>
    <row r="126" spans="1:7" x14ac:dyDescent="0.3">
      <c r="B126" s="10" t="s">
        <v>255</v>
      </c>
      <c r="C126" s="10" t="s">
        <v>256</v>
      </c>
      <c r="D126" s="10">
        <v>1</v>
      </c>
      <c r="E126" s="10" t="s">
        <v>257</v>
      </c>
      <c r="F126" s="10" t="s">
        <v>254</v>
      </c>
      <c r="G126" s="10">
        <v>0</v>
      </c>
    </row>
    <row r="127" spans="1:7" x14ac:dyDescent="0.3">
      <c r="B127" s="10" t="s">
        <v>258</v>
      </c>
      <c r="C127" s="10" t="s">
        <v>259</v>
      </c>
      <c r="D127" s="10">
        <v>1</v>
      </c>
      <c r="E127" s="10" t="s">
        <v>260</v>
      </c>
      <c r="F127" s="10" t="s">
        <v>254</v>
      </c>
      <c r="G127" s="10">
        <v>0</v>
      </c>
    </row>
    <row r="128" spans="1:7" x14ac:dyDescent="0.3">
      <c r="B128" s="10" t="s">
        <v>261</v>
      </c>
      <c r="C128" s="10" t="s">
        <v>262</v>
      </c>
      <c r="D128" s="10">
        <v>1</v>
      </c>
      <c r="E128" s="10" t="s">
        <v>263</v>
      </c>
      <c r="F128" s="10" t="s">
        <v>254</v>
      </c>
      <c r="G128" s="10">
        <v>0</v>
      </c>
    </row>
    <row r="129" spans="2:7" x14ac:dyDescent="0.3">
      <c r="B129" s="10" t="s">
        <v>264</v>
      </c>
      <c r="C129" s="10" t="s">
        <v>265</v>
      </c>
      <c r="D129" s="10">
        <v>1</v>
      </c>
      <c r="E129" s="10" t="s">
        <v>266</v>
      </c>
      <c r="F129" s="10" t="s">
        <v>254</v>
      </c>
      <c r="G129" s="10">
        <v>0</v>
      </c>
    </row>
    <row r="130" spans="2:7" x14ac:dyDescent="0.3">
      <c r="B130" s="10" t="s">
        <v>267</v>
      </c>
      <c r="C130" s="10" t="s">
        <v>268</v>
      </c>
      <c r="D130" s="10">
        <v>1</v>
      </c>
      <c r="E130" s="10" t="s">
        <v>269</v>
      </c>
      <c r="F130" s="10" t="s">
        <v>254</v>
      </c>
      <c r="G130" s="10">
        <v>0</v>
      </c>
    </row>
    <row r="131" spans="2:7" x14ac:dyDescent="0.3">
      <c r="B131" s="10" t="s">
        <v>270</v>
      </c>
      <c r="C131" s="10" t="s">
        <v>271</v>
      </c>
      <c r="D131" s="10">
        <v>1</v>
      </c>
      <c r="E131" s="10" t="s">
        <v>272</v>
      </c>
      <c r="F131" s="10" t="s">
        <v>254</v>
      </c>
      <c r="G131" s="10">
        <v>0</v>
      </c>
    </row>
    <row r="132" spans="2:7" x14ac:dyDescent="0.3">
      <c r="B132" s="10" t="s">
        <v>273</v>
      </c>
      <c r="C132" s="10" t="s">
        <v>274</v>
      </c>
      <c r="D132" s="10">
        <v>1</v>
      </c>
      <c r="E132" s="10" t="s">
        <v>275</v>
      </c>
      <c r="F132" s="10" t="s">
        <v>254</v>
      </c>
      <c r="G132" s="10">
        <v>0</v>
      </c>
    </row>
    <row r="133" spans="2:7" x14ac:dyDescent="0.3">
      <c r="B133" s="10" t="s">
        <v>276</v>
      </c>
      <c r="C133" s="10" t="s">
        <v>277</v>
      </c>
      <c r="D133" s="10">
        <v>1</v>
      </c>
      <c r="E133" s="10" t="s">
        <v>278</v>
      </c>
      <c r="F133" s="10" t="s">
        <v>254</v>
      </c>
      <c r="G133" s="10">
        <v>0</v>
      </c>
    </row>
    <row r="134" spans="2:7" x14ac:dyDescent="0.3">
      <c r="B134" s="10" t="s">
        <v>279</v>
      </c>
      <c r="C134" s="10" t="s">
        <v>280</v>
      </c>
      <c r="D134" s="10">
        <v>1</v>
      </c>
      <c r="E134" s="10" t="s">
        <v>281</v>
      </c>
      <c r="F134" s="10" t="s">
        <v>254</v>
      </c>
      <c r="G134" s="10">
        <v>0</v>
      </c>
    </row>
    <row r="135" spans="2:7" x14ac:dyDescent="0.3">
      <c r="B135" s="10" t="s">
        <v>282</v>
      </c>
      <c r="C135" s="10" t="s">
        <v>283</v>
      </c>
      <c r="D135" s="10">
        <v>1</v>
      </c>
      <c r="E135" s="10" t="s">
        <v>284</v>
      </c>
      <c r="F135" s="10" t="s">
        <v>254</v>
      </c>
      <c r="G135" s="10">
        <v>0</v>
      </c>
    </row>
    <row r="136" spans="2:7" x14ac:dyDescent="0.3">
      <c r="B136" s="10" t="s">
        <v>285</v>
      </c>
      <c r="C136" s="10" t="s">
        <v>286</v>
      </c>
      <c r="D136" s="10">
        <v>1</v>
      </c>
      <c r="E136" s="10" t="s">
        <v>287</v>
      </c>
      <c r="F136" s="10" t="s">
        <v>254</v>
      </c>
      <c r="G136" s="10">
        <v>0</v>
      </c>
    </row>
    <row r="137" spans="2:7" x14ac:dyDescent="0.3">
      <c r="B137" s="10" t="s">
        <v>288</v>
      </c>
      <c r="C137" s="10" t="s">
        <v>289</v>
      </c>
      <c r="D137" s="10">
        <v>1</v>
      </c>
      <c r="E137" s="10" t="s">
        <v>290</v>
      </c>
      <c r="F137" s="10" t="s">
        <v>254</v>
      </c>
      <c r="G137" s="10">
        <v>0</v>
      </c>
    </row>
    <row r="138" spans="2:7" x14ac:dyDescent="0.3">
      <c r="B138" s="10" t="s">
        <v>291</v>
      </c>
      <c r="C138" s="10" t="s">
        <v>292</v>
      </c>
      <c r="D138" s="10">
        <v>1</v>
      </c>
      <c r="E138" s="10" t="s">
        <v>293</v>
      </c>
      <c r="F138" s="10" t="s">
        <v>254</v>
      </c>
      <c r="G138" s="10">
        <v>0</v>
      </c>
    </row>
    <row r="139" spans="2:7" x14ac:dyDescent="0.3">
      <c r="B139" s="10" t="s">
        <v>294</v>
      </c>
      <c r="C139" s="10" t="s">
        <v>295</v>
      </c>
      <c r="D139" s="10">
        <v>1</v>
      </c>
      <c r="E139" s="10" t="s">
        <v>296</v>
      </c>
      <c r="F139" s="10" t="s">
        <v>254</v>
      </c>
      <c r="G139" s="10">
        <v>0</v>
      </c>
    </row>
    <row r="140" spans="2:7" x14ac:dyDescent="0.3">
      <c r="B140" s="10" t="s">
        <v>297</v>
      </c>
      <c r="C140" s="10" t="s">
        <v>298</v>
      </c>
      <c r="D140" s="10">
        <v>1</v>
      </c>
      <c r="E140" s="10" t="s">
        <v>299</v>
      </c>
      <c r="F140" s="10" t="s">
        <v>254</v>
      </c>
      <c r="G140" s="10">
        <v>0</v>
      </c>
    </row>
    <row r="141" spans="2:7" x14ac:dyDescent="0.3">
      <c r="B141" s="10" t="s">
        <v>300</v>
      </c>
      <c r="C141" s="10" t="s">
        <v>301</v>
      </c>
      <c r="D141" s="10">
        <v>1</v>
      </c>
      <c r="E141" s="10" t="s">
        <v>302</v>
      </c>
      <c r="F141" s="10" t="s">
        <v>254</v>
      </c>
      <c r="G141" s="10">
        <v>0</v>
      </c>
    </row>
    <row r="142" spans="2:7" x14ac:dyDescent="0.3">
      <c r="B142" s="10" t="s">
        <v>303</v>
      </c>
      <c r="C142" s="10" t="s">
        <v>304</v>
      </c>
      <c r="D142" s="10">
        <v>1</v>
      </c>
      <c r="E142" s="10" t="s">
        <v>305</v>
      </c>
      <c r="F142" s="10" t="s">
        <v>254</v>
      </c>
      <c r="G142" s="10">
        <v>0</v>
      </c>
    </row>
    <row r="143" spans="2:7" x14ac:dyDescent="0.3">
      <c r="B143" s="10" t="s">
        <v>306</v>
      </c>
      <c r="C143" s="10" t="s">
        <v>307</v>
      </c>
      <c r="D143" s="10">
        <v>1</v>
      </c>
      <c r="E143" s="10" t="s">
        <v>308</v>
      </c>
      <c r="F143" s="10" t="s">
        <v>254</v>
      </c>
      <c r="G143" s="10">
        <v>0</v>
      </c>
    </row>
    <row r="144" spans="2:7" x14ac:dyDescent="0.3">
      <c r="B144" s="10" t="s">
        <v>309</v>
      </c>
      <c r="C144" s="10" t="s">
        <v>310</v>
      </c>
      <c r="D144" s="10">
        <v>1</v>
      </c>
      <c r="E144" s="10" t="s">
        <v>311</v>
      </c>
      <c r="F144" s="10" t="s">
        <v>254</v>
      </c>
      <c r="G144" s="10">
        <v>0</v>
      </c>
    </row>
    <row r="145" spans="2:7" ht="15" thickBot="1" x14ac:dyDescent="0.35">
      <c r="B145" s="8" t="s">
        <v>312</v>
      </c>
      <c r="C145" s="8"/>
      <c r="D145" s="8"/>
      <c r="E145" s="8"/>
      <c r="F145" s="8"/>
      <c r="G14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3249-261D-4FA7-AEA8-A41717A25EA9}">
  <dimension ref="A1:Z28"/>
  <sheetViews>
    <sheetView zoomScale="78" zoomScaleNormal="78" workbookViewId="0">
      <selection activeCell="P9" sqref="P9"/>
    </sheetView>
  </sheetViews>
  <sheetFormatPr defaultRowHeight="14.4" x14ac:dyDescent="0.3"/>
  <cols>
    <col min="2" max="2" width="28.5546875" customWidth="1"/>
  </cols>
  <sheetData>
    <row r="1" spans="1:26" x14ac:dyDescent="0.3">
      <c r="C1" s="2" t="s">
        <v>13</v>
      </c>
      <c r="D1" s="2" t="s">
        <v>14</v>
      </c>
      <c r="E1" s="2" t="s">
        <v>16</v>
      </c>
      <c r="F1" s="2" t="s">
        <v>15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</row>
    <row r="2" spans="1:26" ht="72" x14ac:dyDescent="0.3">
      <c r="B2" s="1"/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</row>
    <row r="3" spans="1:26" x14ac:dyDescent="0.3">
      <c r="A3" s="2" t="s">
        <v>13</v>
      </c>
      <c r="B3" s="2" t="s">
        <v>0</v>
      </c>
      <c r="C3">
        <v>44444</v>
      </c>
      <c r="D3">
        <v>19.7</v>
      </c>
      <c r="E3">
        <v>21.1</v>
      </c>
      <c r="F3">
        <v>26.2</v>
      </c>
      <c r="G3">
        <v>7.2</v>
      </c>
      <c r="H3">
        <v>8.6</v>
      </c>
      <c r="I3">
        <v>38.1</v>
      </c>
      <c r="J3">
        <v>6.1</v>
      </c>
      <c r="K3">
        <v>8.9</v>
      </c>
      <c r="L3">
        <v>3.4</v>
      </c>
    </row>
    <row r="4" spans="1:26" x14ac:dyDescent="0.3">
      <c r="A4" s="2" t="s">
        <v>14</v>
      </c>
      <c r="B4" s="2" t="s">
        <v>1</v>
      </c>
      <c r="C4">
        <v>18.600000000000001</v>
      </c>
      <c r="D4">
        <v>44444</v>
      </c>
      <c r="E4">
        <v>18</v>
      </c>
      <c r="F4">
        <v>9.1999999999999993</v>
      </c>
      <c r="G4">
        <v>12.7</v>
      </c>
      <c r="H4">
        <v>12.7</v>
      </c>
      <c r="I4">
        <v>18.7</v>
      </c>
      <c r="J4">
        <v>13.3</v>
      </c>
      <c r="K4">
        <v>14</v>
      </c>
      <c r="L4">
        <v>15.2</v>
      </c>
    </row>
    <row r="5" spans="1:26" x14ac:dyDescent="0.3">
      <c r="A5" s="2" t="s">
        <v>16</v>
      </c>
      <c r="B5" s="2" t="s">
        <v>2</v>
      </c>
      <c r="C5">
        <v>21.1</v>
      </c>
      <c r="D5">
        <v>18</v>
      </c>
      <c r="E5">
        <v>44444</v>
      </c>
      <c r="F5">
        <v>24.4</v>
      </c>
      <c r="G5">
        <v>16.3</v>
      </c>
      <c r="H5">
        <v>16.5</v>
      </c>
      <c r="I5">
        <v>36.4</v>
      </c>
      <c r="J5">
        <v>16.600000000000001</v>
      </c>
      <c r="K5">
        <v>13.6</v>
      </c>
      <c r="L5">
        <v>17.7</v>
      </c>
      <c r="U5">
        <v>93.35</v>
      </c>
    </row>
    <row r="6" spans="1:26" x14ac:dyDescent="0.3">
      <c r="A6" s="2" t="s">
        <v>15</v>
      </c>
      <c r="B6" s="2" t="s">
        <v>3</v>
      </c>
      <c r="C6">
        <v>25</v>
      </c>
      <c r="D6">
        <v>9.1999999999999993</v>
      </c>
      <c r="E6">
        <v>24.4</v>
      </c>
      <c r="F6">
        <v>44444</v>
      </c>
      <c r="G6">
        <v>19.100000000000001</v>
      </c>
      <c r="H6">
        <v>19.100000000000001</v>
      </c>
      <c r="I6">
        <v>26.3</v>
      </c>
      <c r="J6">
        <v>19.7</v>
      </c>
      <c r="K6">
        <v>20.399999999999999</v>
      </c>
      <c r="L6">
        <v>22.7</v>
      </c>
    </row>
    <row r="7" spans="1:26" x14ac:dyDescent="0.3">
      <c r="A7" s="2" t="s">
        <v>17</v>
      </c>
      <c r="B7" s="2" t="s">
        <v>4</v>
      </c>
      <c r="C7">
        <v>5.8</v>
      </c>
      <c r="D7">
        <v>12.7</v>
      </c>
      <c r="E7">
        <v>16.3</v>
      </c>
      <c r="F7">
        <v>19.100000000000001</v>
      </c>
      <c r="G7">
        <v>44444</v>
      </c>
      <c r="H7">
        <v>1.8</v>
      </c>
      <c r="I7">
        <v>31.1</v>
      </c>
      <c r="J7">
        <v>0.65</v>
      </c>
      <c r="K7">
        <v>3.7</v>
      </c>
      <c r="L7">
        <v>3.6</v>
      </c>
    </row>
    <row r="8" spans="1:26" x14ac:dyDescent="0.3">
      <c r="A8" s="2" t="s">
        <v>18</v>
      </c>
      <c r="B8" s="2" t="s">
        <v>5</v>
      </c>
      <c r="C8">
        <v>7.6</v>
      </c>
      <c r="D8">
        <v>11.7</v>
      </c>
      <c r="E8">
        <v>17.2</v>
      </c>
      <c r="F8">
        <v>18.100000000000001</v>
      </c>
      <c r="G8">
        <v>1.8</v>
      </c>
      <c r="H8">
        <v>44444</v>
      </c>
      <c r="I8">
        <v>31</v>
      </c>
      <c r="J8">
        <v>1.6</v>
      </c>
      <c r="K8">
        <v>2.9</v>
      </c>
      <c r="L8">
        <v>4.5</v>
      </c>
    </row>
    <row r="9" spans="1:26" x14ac:dyDescent="0.3">
      <c r="A9" s="2" t="s">
        <v>19</v>
      </c>
      <c r="B9" s="2" t="s">
        <v>6</v>
      </c>
      <c r="C9">
        <v>36.9</v>
      </c>
      <c r="D9">
        <v>18.7</v>
      </c>
      <c r="E9">
        <v>36.4</v>
      </c>
      <c r="F9">
        <v>26.3</v>
      </c>
      <c r="G9">
        <v>31.1</v>
      </c>
      <c r="H9">
        <v>31</v>
      </c>
      <c r="I9">
        <v>44444</v>
      </c>
      <c r="J9">
        <v>31.6</v>
      </c>
      <c r="K9">
        <v>32.299999999999997</v>
      </c>
      <c r="L9">
        <v>34.5</v>
      </c>
      <c r="S9" t="s">
        <v>23</v>
      </c>
      <c r="U9" t="s">
        <v>316</v>
      </c>
    </row>
    <row r="10" spans="1:26" x14ac:dyDescent="0.3">
      <c r="A10" s="2" t="s">
        <v>20</v>
      </c>
      <c r="B10" s="2" t="s">
        <v>7</v>
      </c>
      <c r="C10">
        <v>6.1</v>
      </c>
      <c r="D10">
        <v>13.3</v>
      </c>
      <c r="E10">
        <v>16.600000000000001</v>
      </c>
      <c r="F10">
        <v>19.7</v>
      </c>
      <c r="G10">
        <v>0.65</v>
      </c>
      <c r="H10">
        <v>1.6</v>
      </c>
      <c r="I10">
        <v>31.6</v>
      </c>
      <c r="J10">
        <v>44444</v>
      </c>
      <c r="K10">
        <v>4</v>
      </c>
      <c r="L10">
        <v>3.1</v>
      </c>
      <c r="R10" t="s">
        <v>25</v>
      </c>
      <c r="S10" t="s">
        <v>23</v>
      </c>
    </row>
    <row r="11" spans="1:26" x14ac:dyDescent="0.3">
      <c r="A11" s="2" t="s">
        <v>21</v>
      </c>
      <c r="B11" s="2" t="s">
        <v>8</v>
      </c>
      <c r="C11">
        <v>8.3000000000000007</v>
      </c>
      <c r="D11">
        <v>14</v>
      </c>
      <c r="E11">
        <v>13.6</v>
      </c>
      <c r="F11">
        <v>20.399999999999999</v>
      </c>
      <c r="G11">
        <v>3.7</v>
      </c>
      <c r="H11">
        <v>2.9</v>
      </c>
      <c r="I11">
        <v>32.299999999999997</v>
      </c>
      <c r="J11">
        <v>4</v>
      </c>
      <c r="K11">
        <v>44444</v>
      </c>
      <c r="L11">
        <v>5.3</v>
      </c>
      <c r="R11" t="s">
        <v>314</v>
      </c>
      <c r="S11" t="s">
        <v>24</v>
      </c>
    </row>
    <row r="12" spans="1:26" x14ac:dyDescent="0.3">
      <c r="A12" s="2" t="s">
        <v>22</v>
      </c>
      <c r="B12" s="2" t="s">
        <v>9</v>
      </c>
      <c r="C12">
        <v>44444</v>
      </c>
      <c r="D12">
        <v>16.2</v>
      </c>
      <c r="E12">
        <v>17.7</v>
      </c>
      <c r="F12">
        <v>21.6</v>
      </c>
      <c r="G12">
        <v>3.6</v>
      </c>
      <c r="H12">
        <v>4.5</v>
      </c>
      <c r="I12">
        <v>34.5</v>
      </c>
      <c r="J12">
        <v>3.1</v>
      </c>
      <c r="K12">
        <v>5.3</v>
      </c>
      <c r="L12">
        <v>44444</v>
      </c>
      <c r="R12" t="s">
        <v>315</v>
      </c>
      <c r="S12" t="s">
        <v>24</v>
      </c>
    </row>
    <row r="13" spans="1:26" x14ac:dyDescent="0.3">
      <c r="R13" t="s">
        <v>26</v>
      </c>
      <c r="S13" t="s">
        <v>24</v>
      </c>
    </row>
    <row r="14" spans="1:26" x14ac:dyDescent="0.3">
      <c r="Q14">
        <f>SUMPRODUCT(C3:L12,C16:L25)</f>
        <v>97.09999999999998</v>
      </c>
    </row>
    <row r="15" spans="1:26" x14ac:dyDescent="0.3">
      <c r="B15" s="1"/>
      <c r="C15" s="2" t="s">
        <v>13</v>
      </c>
      <c r="D15" s="2" t="s">
        <v>14</v>
      </c>
      <c r="E15" s="2" t="s">
        <v>16</v>
      </c>
      <c r="F15" s="2" t="s">
        <v>15</v>
      </c>
      <c r="G15" s="2" t="s">
        <v>17</v>
      </c>
      <c r="H15" s="2" t="s">
        <v>18</v>
      </c>
      <c r="I15" s="2" t="s">
        <v>19</v>
      </c>
      <c r="J15" s="2" t="s">
        <v>20</v>
      </c>
      <c r="K15" s="2" t="s">
        <v>21</v>
      </c>
      <c r="L15" s="2" t="s">
        <v>22</v>
      </c>
      <c r="M15" s="4" t="s">
        <v>11</v>
      </c>
    </row>
    <row r="16" spans="1:26" x14ac:dyDescent="0.3">
      <c r="B16" s="2" t="s">
        <v>13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>
        <f>SUM(C16:L16)</f>
        <v>1</v>
      </c>
      <c r="O16">
        <v>1</v>
      </c>
      <c r="Q16">
        <v>44444</v>
      </c>
      <c r="R16">
        <v>19.7</v>
      </c>
      <c r="S16">
        <v>21.1</v>
      </c>
      <c r="T16">
        <v>26.2</v>
      </c>
      <c r="U16">
        <v>7.2</v>
      </c>
      <c r="V16">
        <v>8.6</v>
      </c>
      <c r="W16">
        <v>38.1</v>
      </c>
      <c r="X16">
        <v>6.1</v>
      </c>
      <c r="Y16">
        <v>8.9</v>
      </c>
      <c r="Z16">
        <v>3.4</v>
      </c>
    </row>
    <row r="17" spans="2:26" x14ac:dyDescent="0.3">
      <c r="B17" s="2" t="s">
        <v>14</v>
      </c>
      <c r="C17" s="5">
        <v>0</v>
      </c>
      <c r="D17" s="5">
        <v>0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>
        <f t="shared" ref="M17:M25" si="0">SUM(C17:L17)</f>
        <v>1</v>
      </c>
      <c r="O17">
        <v>1</v>
      </c>
      <c r="Q17">
        <v>18.600000000000001</v>
      </c>
      <c r="R17">
        <v>44444</v>
      </c>
      <c r="S17">
        <v>18</v>
      </c>
      <c r="T17">
        <v>9.1999999999999993</v>
      </c>
      <c r="U17">
        <v>12.7</v>
      </c>
      <c r="V17">
        <v>12.7</v>
      </c>
      <c r="W17">
        <v>18.7</v>
      </c>
      <c r="X17">
        <v>13.3</v>
      </c>
      <c r="Y17">
        <v>14</v>
      </c>
      <c r="Z17">
        <v>15.2</v>
      </c>
    </row>
    <row r="18" spans="2:26" x14ac:dyDescent="0.3">
      <c r="B18" s="2" t="s">
        <v>16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</v>
      </c>
      <c r="L18" s="5">
        <v>0</v>
      </c>
      <c r="M18">
        <f t="shared" si="0"/>
        <v>1</v>
      </c>
      <c r="O18">
        <v>1</v>
      </c>
      <c r="Q18">
        <v>21.1</v>
      </c>
      <c r="R18">
        <v>18</v>
      </c>
      <c r="S18">
        <v>44444</v>
      </c>
      <c r="T18">
        <v>24.4</v>
      </c>
      <c r="U18">
        <v>16.3</v>
      </c>
      <c r="V18">
        <v>16.5</v>
      </c>
      <c r="W18">
        <v>36.4</v>
      </c>
      <c r="X18">
        <v>16.600000000000001</v>
      </c>
      <c r="Y18">
        <v>13.6</v>
      </c>
      <c r="Z18">
        <v>17.7</v>
      </c>
    </row>
    <row r="19" spans="2:26" x14ac:dyDescent="0.3">
      <c r="B19" s="2" t="s">
        <v>15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>
        <f t="shared" si="0"/>
        <v>1</v>
      </c>
      <c r="O19">
        <v>1</v>
      </c>
      <c r="Q19">
        <v>25</v>
      </c>
      <c r="R19">
        <v>9.1999999999999993</v>
      </c>
      <c r="S19">
        <v>24.4</v>
      </c>
      <c r="T19">
        <v>44444</v>
      </c>
      <c r="U19">
        <v>19.100000000000001</v>
      </c>
      <c r="V19">
        <v>19.100000000000001</v>
      </c>
      <c r="W19">
        <v>26.3</v>
      </c>
      <c r="X19">
        <v>19.7</v>
      </c>
      <c r="Y19">
        <v>20.399999999999999</v>
      </c>
      <c r="Z19">
        <v>22.7</v>
      </c>
    </row>
    <row r="20" spans="2:26" x14ac:dyDescent="0.3">
      <c r="B20" s="2" t="s">
        <v>17</v>
      </c>
      <c r="C20" s="5">
        <v>1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>
        <f t="shared" si="0"/>
        <v>1</v>
      </c>
      <c r="O20">
        <v>1</v>
      </c>
      <c r="Q20">
        <v>5.8</v>
      </c>
      <c r="R20">
        <v>12.7</v>
      </c>
      <c r="S20">
        <v>16.3</v>
      </c>
      <c r="T20">
        <v>19.100000000000001</v>
      </c>
      <c r="U20">
        <v>44444</v>
      </c>
      <c r="V20">
        <v>1.8</v>
      </c>
      <c r="W20">
        <v>31.1</v>
      </c>
      <c r="X20">
        <v>0.65</v>
      </c>
      <c r="Y20">
        <v>3.7</v>
      </c>
      <c r="Z20">
        <v>3.6</v>
      </c>
    </row>
    <row r="21" spans="2:26" x14ac:dyDescent="0.3">
      <c r="B21" s="2" t="s">
        <v>18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>
        <f t="shared" si="0"/>
        <v>1</v>
      </c>
      <c r="O21">
        <v>1</v>
      </c>
      <c r="Q21">
        <v>7.6</v>
      </c>
      <c r="R21">
        <v>11.7</v>
      </c>
      <c r="S21">
        <v>17.2</v>
      </c>
      <c r="T21">
        <v>18.100000000000001</v>
      </c>
      <c r="U21">
        <v>1.8</v>
      </c>
      <c r="V21">
        <v>44444</v>
      </c>
      <c r="W21">
        <v>31</v>
      </c>
      <c r="X21">
        <v>1.6</v>
      </c>
      <c r="Y21">
        <v>2.9</v>
      </c>
      <c r="Z21">
        <v>4.5</v>
      </c>
    </row>
    <row r="22" spans="2:26" x14ac:dyDescent="0.3">
      <c r="B22" s="2" t="s">
        <v>19</v>
      </c>
      <c r="C22" s="5">
        <v>0</v>
      </c>
      <c r="D22" s="5">
        <v>1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>
        <f t="shared" si="0"/>
        <v>1</v>
      </c>
      <c r="O22">
        <v>1</v>
      </c>
      <c r="Q22">
        <v>36.9</v>
      </c>
      <c r="R22">
        <v>18.7</v>
      </c>
      <c r="S22">
        <v>36.4</v>
      </c>
      <c r="T22">
        <v>26.3</v>
      </c>
      <c r="U22">
        <v>31.1</v>
      </c>
      <c r="V22">
        <v>31</v>
      </c>
      <c r="W22">
        <v>44444</v>
      </c>
      <c r="X22">
        <v>31.6</v>
      </c>
      <c r="Y22">
        <v>32.299999999999997</v>
      </c>
      <c r="Z22">
        <v>34.5</v>
      </c>
    </row>
    <row r="23" spans="2:26" x14ac:dyDescent="0.3">
      <c r="B23" s="2" t="s">
        <v>20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>
        <f t="shared" si="0"/>
        <v>1</v>
      </c>
      <c r="O23">
        <v>1</v>
      </c>
      <c r="Q23">
        <v>6.1</v>
      </c>
      <c r="R23">
        <v>13.3</v>
      </c>
      <c r="S23">
        <v>16.600000000000001</v>
      </c>
      <c r="T23">
        <v>19.7</v>
      </c>
      <c r="U23">
        <v>0.65</v>
      </c>
      <c r="V23">
        <v>1.6</v>
      </c>
      <c r="W23">
        <v>31.6</v>
      </c>
      <c r="X23">
        <v>44444</v>
      </c>
      <c r="Y23">
        <v>4</v>
      </c>
      <c r="Z23">
        <v>3.1</v>
      </c>
    </row>
    <row r="24" spans="2:26" x14ac:dyDescent="0.3">
      <c r="B24" s="2" t="s">
        <v>21</v>
      </c>
      <c r="C24" s="5">
        <v>0</v>
      </c>
      <c r="D24" s="5">
        <v>0</v>
      </c>
      <c r="E24" s="5">
        <v>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>
        <f t="shared" si="0"/>
        <v>1</v>
      </c>
      <c r="O24">
        <v>1</v>
      </c>
      <c r="Q24">
        <v>8.3000000000000007</v>
      </c>
      <c r="R24">
        <v>14</v>
      </c>
      <c r="S24">
        <v>13.6</v>
      </c>
      <c r="T24">
        <v>20.399999999999999</v>
      </c>
      <c r="U24">
        <v>3.7</v>
      </c>
      <c r="V24">
        <v>2.9</v>
      </c>
      <c r="W24">
        <v>32.299999999999997</v>
      </c>
      <c r="X24">
        <v>4</v>
      </c>
      <c r="Y24">
        <v>44444</v>
      </c>
      <c r="Z24">
        <v>5.3</v>
      </c>
    </row>
    <row r="25" spans="2:26" x14ac:dyDescent="0.3">
      <c r="B25" s="2" t="s">
        <v>22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>
        <f t="shared" si="0"/>
        <v>1</v>
      </c>
      <c r="O25">
        <v>1</v>
      </c>
      <c r="Q25">
        <v>3.4</v>
      </c>
      <c r="R25">
        <v>16.2</v>
      </c>
      <c r="S25">
        <v>17.7</v>
      </c>
      <c r="T25">
        <v>21.6</v>
      </c>
      <c r="U25">
        <v>3.6</v>
      </c>
      <c r="V25">
        <v>4.5</v>
      </c>
      <c r="W25">
        <v>34.5</v>
      </c>
      <c r="X25">
        <v>3.1</v>
      </c>
      <c r="Y25">
        <v>5.3</v>
      </c>
      <c r="Z25">
        <v>44444</v>
      </c>
    </row>
    <row r="26" spans="2:26" x14ac:dyDescent="0.3">
      <c r="B26" s="2" t="s">
        <v>12</v>
      </c>
      <c r="C26">
        <f>SUM(C16:C25)</f>
        <v>1</v>
      </c>
      <c r="D26">
        <f t="shared" ref="D26:L26" si="1">SUM(D16:D25)</f>
        <v>1</v>
      </c>
      <c r="E26">
        <f t="shared" si="1"/>
        <v>1</v>
      </c>
      <c r="F26">
        <f t="shared" si="1"/>
        <v>1</v>
      </c>
      <c r="G26">
        <f t="shared" si="1"/>
        <v>1</v>
      </c>
      <c r="H26">
        <f t="shared" si="1"/>
        <v>1</v>
      </c>
      <c r="I26">
        <f t="shared" si="1"/>
        <v>1</v>
      </c>
      <c r="J26">
        <f t="shared" si="1"/>
        <v>1</v>
      </c>
      <c r="K26">
        <f t="shared" si="1"/>
        <v>1</v>
      </c>
      <c r="L26">
        <f t="shared" si="1"/>
        <v>1</v>
      </c>
    </row>
    <row r="28" spans="2:26" x14ac:dyDescent="0.3"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0715-8249-4502-9A6D-374D4F691870}">
  <dimension ref="B3:L13"/>
  <sheetViews>
    <sheetView tabSelected="1" zoomScale="51" workbookViewId="0">
      <selection activeCell="D10" sqref="D10"/>
    </sheetView>
  </sheetViews>
  <sheetFormatPr defaultRowHeight="14.4" x14ac:dyDescent="0.3"/>
  <cols>
    <col min="1" max="1" width="8.88671875" customWidth="1"/>
    <col min="2" max="2" width="11.33203125" style="1" customWidth="1"/>
    <col min="3" max="3" width="11.44140625" customWidth="1"/>
  </cols>
  <sheetData>
    <row r="3" spans="2:12" ht="72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</row>
    <row r="4" spans="2:12" ht="28.8" x14ac:dyDescent="0.3">
      <c r="B4" s="4" t="s">
        <v>0</v>
      </c>
      <c r="C4" s="11">
        <v>44444</v>
      </c>
      <c r="D4" s="11">
        <v>19.7</v>
      </c>
      <c r="E4" s="11">
        <v>21.1</v>
      </c>
      <c r="F4" s="11">
        <v>26.2</v>
      </c>
      <c r="G4" s="11">
        <v>7.2</v>
      </c>
      <c r="H4" s="11">
        <v>8.6</v>
      </c>
      <c r="I4" s="11">
        <v>38.1</v>
      </c>
      <c r="J4" s="11">
        <v>6.1</v>
      </c>
      <c r="K4" s="11">
        <v>8.9</v>
      </c>
      <c r="L4" s="11">
        <v>3.4</v>
      </c>
    </row>
    <row r="5" spans="2:12" ht="43.2" x14ac:dyDescent="0.3">
      <c r="B5" s="4" t="s">
        <v>1</v>
      </c>
      <c r="C5" s="11">
        <v>18.600000000000001</v>
      </c>
      <c r="D5" s="11">
        <v>44444</v>
      </c>
      <c r="E5" s="11">
        <v>18</v>
      </c>
      <c r="F5" s="11">
        <v>9.1999999999999993</v>
      </c>
      <c r="G5" s="11">
        <v>12.7</v>
      </c>
      <c r="H5" s="11">
        <v>12.7</v>
      </c>
      <c r="I5" s="11">
        <v>18.7</v>
      </c>
      <c r="J5" s="11">
        <v>13.3</v>
      </c>
      <c r="K5" s="11">
        <v>14</v>
      </c>
      <c r="L5" s="11">
        <v>15.2</v>
      </c>
    </row>
    <row r="6" spans="2:12" ht="28.8" x14ac:dyDescent="0.3">
      <c r="B6" s="4" t="s">
        <v>2</v>
      </c>
      <c r="C6" s="11">
        <v>21.1</v>
      </c>
      <c r="D6" s="11">
        <v>18</v>
      </c>
      <c r="E6" s="11">
        <v>44444</v>
      </c>
      <c r="F6" s="11">
        <v>24.4</v>
      </c>
      <c r="G6" s="11">
        <v>16.3</v>
      </c>
      <c r="H6" s="11">
        <v>16.5</v>
      </c>
      <c r="I6" s="11">
        <v>36.4</v>
      </c>
      <c r="J6" s="11">
        <v>16.600000000000001</v>
      </c>
      <c r="K6" s="11">
        <v>13.6</v>
      </c>
      <c r="L6" s="11">
        <v>17.7</v>
      </c>
    </row>
    <row r="7" spans="2:12" ht="43.2" x14ac:dyDescent="0.3">
      <c r="B7" s="4" t="s">
        <v>3</v>
      </c>
      <c r="C7" s="11">
        <v>25</v>
      </c>
      <c r="D7" s="11">
        <v>9.1999999999999993</v>
      </c>
      <c r="E7" s="11">
        <v>24.4</v>
      </c>
      <c r="F7" s="11">
        <v>44444</v>
      </c>
      <c r="G7" s="11">
        <v>19.100000000000001</v>
      </c>
      <c r="H7" s="11">
        <v>19.100000000000001</v>
      </c>
      <c r="I7" s="11">
        <v>26.3</v>
      </c>
      <c r="J7" s="11">
        <v>19.7</v>
      </c>
      <c r="K7" s="11">
        <v>20.399999999999999</v>
      </c>
      <c r="L7" s="11">
        <v>22.7</v>
      </c>
    </row>
    <row r="8" spans="2:12" ht="28.8" x14ac:dyDescent="0.3">
      <c r="B8" s="4" t="s">
        <v>4</v>
      </c>
      <c r="C8" s="11">
        <v>5.8</v>
      </c>
      <c r="D8" s="11">
        <v>12.7</v>
      </c>
      <c r="E8" s="11">
        <v>16.3</v>
      </c>
      <c r="F8" s="11">
        <v>19.100000000000001</v>
      </c>
      <c r="G8" s="11">
        <v>44444</v>
      </c>
      <c r="H8" s="12">
        <v>1</v>
      </c>
      <c r="I8" s="12">
        <v>31.1</v>
      </c>
      <c r="J8" s="12">
        <v>1.3</v>
      </c>
      <c r="K8" s="12">
        <v>3.4</v>
      </c>
      <c r="L8" s="12">
        <v>2.5</v>
      </c>
    </row>
    <row r="9" spans="2:12" ht="43.2" x14ac:dyDescent="0.3">
      <c r="B9" s="4" t="s">
        <v>5</v>
      </c>
      <c r="C9" s="11">
        <v>7.6</v>
      </c>
      <c r="D9" s="11">
        <v>11.7</v>
      </c>
      <c r="E9" s="11">
        <v>17.2</v>
      </c>
      <c r="F9" s="11">
        <v>18.100000000000001</v>
      </c>
      <c r="G9" s="12">
        <v>1.8</v>
      </c>
      <c r="H9" s="6">
        <v>44444</v>
      </c>
      <c r="I9" s="12">
        <v>30</v>
      </c>
      <c r="J9" s="12">
        <v>2.4</v>
      </c>
      <c r="K9" s="12">
        <v>3.6</v>
      </c>
      <c r="L9" s="12">
        <v>4.5</v>
      </c>
    </row>
    <row r="10" spans="2:12" ht="43.2" x14ac:dyDescent="0.3">
      <c r="B10" s="4" t="s">
        <v>6</v>
      </c>
      <c r="C10" s="11">
        <v>36.9</v>
      </c>
      <c r="D10" s="11">
        <v>18.7</v>
      </c>
      <c r="E10" s="11">
        <v>36.4</v>
      </c>
      <c r="F10" s="11">
        <v>26.3</v>
      </c>
      <c r="G10" s="12">
        <v>31.1</v>
      </c>
      <c r="H10" s="12">
        <v>31</v>
      </c>
      <c r="I10" s="6">
        <v>44444</v>
      </c>
      <c r="J10" s="12">
        <v>31.6</v>
      </c>
      <c r="K10" s="12">
        <v>32.299999999999997</v>
      </c>
      <c r="L10" s="12">
        <v>33.6</v>
      </c>
    </row>
    <row r="11" spans="2:12" ht="43.2" x14ac:dyDescent="0.3">
      <c r="B11" s="4" t="s">
        <v>7</v>
      </c>
      <c r="C11" s="11">
        <v>6.1</v>
      </c>
      <c r="D11" s="11">
        <v>13.3</v>
      </c>
      <c r="E11" s="11">
        <v>16.600000000000001</v>
      </c>
      <c r="F11" s="11">
        <v>19.7</v>
      </c>
      <c r="G11" s="12">
        <v>1.3</v>
      </c>
      <c r="H11" s="12">
        <v>1.6</v>
      </c>
      <c r="I11" s="12">
        <v>31.6</v>
      </c>
      <c r="J11" s="6">
        <v>44444</v>
      </c>
      <c r="K11">
        <v>4</v>
      </c>
      <c r="L11">
        <v>2.8</v>
      </c>
    </row>
    <row r="12" spans="2:12" ht="43.2" x14ac:dyDescent="0.3">
      <c r="B12" s="4" t="s">
        <v>8</v>
      </c>
      <c r="C12" s="11">
        <v>8.3000000000000007</v>
      </c>
      <c r="D12" s="11">
        <v>14</v>
      </c>
      <c r="E12" s="11">
        <v>13.6</v>
      </c>
      <c r="F12" s="11">
        <v>20.399999999999999</v>
      </c>
      <c r="G12" s="12">
        <v>4.5999999999999996</v>
      </c>
      <c r="H12" s="12">
        <v>2.4</v>
      </c>
      <c r="I12" s="12">
        <v>32.299999999999997</v>
      </c>
      <c r="J12">
        <v>4</v>
      </c>
      <c r="K12" s="6">
        <v>44444</v>
      </c>
      <c r="L12" s="6">
        <v>4.5</v>
      </c>
    </row>
    <row r="13" spans="2:12" ht="43.2" x14ac:dyDescent="0.3">
      <c r="B13" s="4" t="s">
        <v>9</v>
      </c>
      <c r="C13" s="11">
        <v>3.4</v>
      </c>
      <c r="D13" s="11">
        <v>16.2</v>
      </c>
      <c r="E13" s="11">
        <v>17.7</v>
      </c>
      <c r="F13" s="11">
        <v>21.6</v>
      </c>
      <c r="G13" s="12">
        <v>3.6</v>
      </c>
      <c r="H13" s="12">
        <v>4.5</v>
      </c>
      <c r="I13" s="12">
        <v>34.5</v>
      </c>
      <c r="J13">
        <v>3.1</v>
      </c>
      <c r="K13" s="6">
        <v>5.3</v>
      </c>
      <c r="L13" s="6">
        <v>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Answer Report 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Anisah Daffa Citra Nareswari</dc:creator>
  <cp:lastModifiedBy>Citra Nareswari</cp:lastModifiedBy>
  <dcterms:created xsi:type="dcterms:W3CDTF">2025-06-03T13:33:31Z</dcterms:created>
  <dcterms:modified xsi:type="dcterms:W3CDTF">2026-04-13T23:40:12Z</dcterms:modified>
</cp:coreProperties>
</file>